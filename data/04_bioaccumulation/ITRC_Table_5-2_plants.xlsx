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1"/>
  <workbookPr/>
  <mc:AlternateContent xmlns:mc="http://schemas.openxmlformats.org/markup-compatibility/2006">
    <mc:Choice Requires="x15">
      <x15ac:absPath xmlns:x15ac="http://schemas.microsoft.com/office/spreadsheetml/2010/11/ac" url="/Users/lhaywilson/Desktop/PFAS/TRFilestoWebDev/ExternalFiles/"/>
    </mc:Choice>
  </mc:AlternateContent>
  <xr:revisionPtr revIDLastSave="0" documentId="13_ncr:1_{FC90CE82-BE27-644F-8D78-170E2CE4A33E}" xr6:coauthVersionLast="47" xr6:coauthVersionMax="47" xr10:uidLastSave="{00000000-0000-0000-0000-000000000000}"/>
  <bookViews>
    <workbookView xWindow="15660" yWindow="500" windowWidth="29640" windowHeight="21440" tabRatio="500" xr2:uid="{00000000-000D-0000-FFFF-FFFF00000000}"/>
  </bookViews>
  <sheets>
    <sheet name="ReadMe" sheetId="4" r:id="rId1"/>
    <sheet name="BCF, BAF, BMF" sheetId="1" r:id="rId2"/>
    <sheet name="References" sheetId="3" r:id="rId3"/>
  </sheets>
  <definedNames>
    <definedName name="_GoBack" localSheetId="2">References!#REF!</definedName>
    <definedName name="aaaa">#REF!</definedName>
    <definedName name="_xlnm.Database">#REF!</definedName>
    <definedName name="dd">#REF!</definedName>
    <definedName name="dddd">#REF!</definedName>
    <definedName name="Final_Models">#REF!</definedName>
    <definedName name="gg">#REF!</definedName>
    <definedName name="ggg">#REF!</definedName>
    <definedName name="InitDate080359M" hidden="1">34598.8196527778</definedName>
    <definedName name="jjj">#REF!</definedName>
    <definedName name="LocationCoordinates_All">#REF!</definedName>
    <definedName name="MOVE">#N/A</definedName>
    <definedName name="newdatabase">#REF!</definedName>
    <definedName name="O" hidden="1">"¨Á¿ÁÈ~ŸÅÊ»Ì×ÅÝ„²ÓÖØÌÛÉ×Ø"</definedName>
    <definedName name="OLE_LINK387" localSheetId="1">'BCF, BAF, BMF'!$E$293</definedName>
    <definedName name="OLE_LINK482" localSheetId="1">'BCF, BAF, BMF'!$E$302</definedName>
    <definedName name="OLE_LINK51" localSheetId="1">'BCF, BAF, BMF'!#REF!</definedName>
    <definedName name="OLE_LINK79" localSheetId="1">'BCF, BAF, BMF'!$E$214</definedName>
    <definedName name="Organ080359M" hidden="1">"Commonwealth Technology, Inc."</definedName>
    <definedName name="Print_1_Page">#REF!</definedName>
    <definedName name="Print_2_Pages">#REF!</definedName>
    <definedName name="_xlnm.Print_Area">#REF!</definedName>
    <definedName name="PRINT_AREA_MI">#REF!</definedName>
    <definedName name="Print_Area_MI2">#REF!</definedName>
    <definedName name="S" hidden="1">"|}~z¦ƒ‰‡„y©"</definedName>
    <definedName name="Serial080359M" hidden="1">"001-KY031505-P"</definedName>
    <definedName name="U" hidden="1">"©ÀÒÆÐƒ¦ÊØÎÕÊØÙ"</definedName>
    <definedName name="W5.0.23" hidden="1">TRUE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A1" i="3" l="1"/>
  <c r="A1" i="1"/>
  <c r="C165" i="1" l="1"/>
</calcChain>
</file>

<file path=xl/sharedStrings.xml><?xml version="1.0" encoding="utf-8"?>
<sst xmlns="http://schemas.openxmlformats.org/spreadsheetml/2006/main" count="901" uniqueCount="200">
  <si>
    <t>Perfluoroalkane sulfonates (PFSAs)</t>
  </si>
  <si>
    <t>X:2 Fluorotelomer Sulfonates (X:2 FTSA)</t>
  </si>
  <si>
    <t>Perfluoroalkane sulfonamides</t>
  </si>
  <si>
    <t>Fluorotelomer Carboxylic Acids (Biodegradation Products)</t>
  </si>
  <si>
    <t>6:2 Fluorotelomer carboxylic acid</t>
  </si>
  <si>
    <t>Mol. Wt. (g/mol)</t>
  </si>
  <si>
    <t>Mol. Formula</t>
  </si>
  <si>
    <t>N-alkyl perfluoroalkane sulfonamido acetic acids</t>
  </si>
  <si>
    <t>Fluorotelomer alcohols (x:2 FTOHs)</t>
  </si>
  <si>
    <t>CAS No.</t>
  </si>
  <si>
    <t>335-67-1</t>
  </si>
  <si>
    <t>335-76-2</t>
  </si>
  <si>
    <t>2058-94-8</t>
  </si>
  <si>
    <t>307-55-1</t>
  </si>
  <si>
    <t>72629-94-8</t>
  </si>
  <si>
    <t>376-06-7</t>
  </si>
  <si>
    <t>27619-97-2</t>
  </si>
  <si>
    <t xml:space="preserve">375-73-5 </t>
  </si>
  <si>
    <t>2706-91-4</t>
  </si>
  <si>
    <t>355-46-4</t>
  </si>
  <si>
    <t>1763-23-1</t>
  </si>
  <si>
    <t>757124-72-4</t>
  </si>
  <si>
    <t>39108-34-4</t>
  </si>
  <si>
    <t>754-91-6</t>
  </si>
  <si>
    <t>2355-31-9</t>
  </si>
  <si>
    <t>2991-50-6</t>
  </si>
  <si>
    <t>2043-47-2</t>
  </si>
  <si>
    <t>647-42-7</t>
  </si>
  <si>
    <t>678-39-7</t>
  </si>
  <si>
    <t>865-86-1</t>
  </si>
  <si>
    <t>5:3 Acid</t>
  </si>
  <si>
    <t>53826-12-3</t>
  </si>
  <si>
    <t>914637-49-3</t>
  </si>
  <si>
    <t>Perfluorobutanoic acid</t>
  </si>
  <si>
    <t>Acronym</t>
  </si>
  <si>
    <t>PFBA</t>
  </si>
  <si>
    <t>Perfluorohexanoic acid</t>
  </si>
  <si>
    <t>PFHxA</t>
  </si>
  <si>
    <t>Perfluoroheptanoic acid</t>
  </si>
  <si>
    <t>PFHpA</t>
  </si>
  <si>
    <t xml:space="preserve">Perfluorooctanoic acid </t>
  </si>
  <si>
    <t>PFOA</t>
  </si>
  <si>
    <t>Perfluorononanoic acid</t>
  </si>
  <si>
    <t>PFNA</t>
  </si>
  <si>
    <t xml:space="preserve">Perfluorodecanoic acid </t>
  </si>
  <si>
    <t>PFDA</t>
  </si>
  <si>
    <t xml:space="preserve">Perfluoroundecanoic acid </t>
  </si>
  <si>
    <t>PFUnA</t>
  </si>
  <si>
    <t>Perfluorododecanoic acid</t>
  </si>
  <si>
    <t>PFDoDA</t>
  </si>
  <si>
    <t xml:space="preserve">Perfluorotridecanoic acid </t>
  </si>
  <si>
    <t>PFTrDA</t>
  </si>
  <si>
    <t xml:space="preserve">Perfluorotetradecanoic acid </t>
  </si>
  <si>
    <t>PFTeDA</t>
  </si>
  <si>
    <t>Perfluorobutane sulfonic acid</t>
  </si>
  <si>
    <t>PFBS</t>
  </si>
  <si>
    <t>Perfluoropentane sulfonic acid</t>
  </si>
  <si>
    <t>PFPeS</t>
  </si>
  <si>
    <t>Perfluorohexane sulfonic acid</t>
  </si>
  <si>
    <t>PFHxS</t>
  </si>
  <si>
    <t>Perfluoroheptane sulfonic acid</t>
  </si>
  <si>
    <t>PFHpS</t>
  </si>
  <si>
    <t>Perfluorooctane sulfonic acid</t>
  </si>
  <si>
    <t>PFOS</t>
  </si>
  <si>
    <t>Perfluorononane sulfonic acid</t>
  </si>
  <si>
    <t>PFNS</t>
  </si>
  <si>
    <t>Perfluorodecane sulfonic acid</t>
  </si>
  <si>
    <t>PFDS</t>
  </si>
  <si>
    <t>4:2 FTSA</t>
  </si>
  <si>
    <t>6:2 FTSA</t>
  </si>
  <si>
    <t>8:2 FTSA</t>
  </si>
  <si>
    <t>4:2 Fluorotelomer sulfonic acid</t>
  </si>
  <si>
    <t>6:2 Fluorotelomer sulfonic acid</t>
  </si>
  <si>
    <t>8:2 Fluorotelomer sulfonic acid</t>
  </si>
  <si>
    <t>FOSA</t>
  </si>
  <si>
    <t>Perfluorooctane sulfonamide</t>
  </si>
  <si>
    <t>MeFOSAA</t>
  </si>
  <si>
    <t>N-Methyl perfluorooctane sulfonamido acetic acid</t>
  </si>
  <si>
    <t>EtFOSAA</t>
  </si>
  <si>
    <t>N-Ethyl perfluorooctane sulfonamido acetic acid</t>
  </si>
  <si>
    <t>4:2 FTOH</t>
  </si>
  <si>
    <t>4:2 Fluorotelomer alcohol</t>
  </si>
  <si>
    <t>6:2 FTOH</t>
  </si>
  <si>
    <t>6:2 Fluorotelomer alcohol</t>
  </si>
  <si>
    <t>8:2 FTOH</t>
  </si>
  <si>
    <t>8:2 Fluorotelomer alcohol</t>
  </si>
  <si>
    <t>10:2 FTOH</t>
  </si>
  <si>
    <t>10:2 Fluorotelomer alcohol</t>
  </si>
  <si>
    <t>Min</t>
  </si>
  <si>
    <t>Max</t>
  </si>
  <si>
    <t>Mean</t>
  </si>
  <si>
    <t>Reference</t>
  </si>
  <si>
    <t>Species</t>
  </si>
  <si>
    <t>PFAS Name</t>
  </si>
  <si>
    <r>
      <t>C</t>
    </r>
    <r>
      <rPr>
        <vertAlign val="subscript"/>
        <sz val="10"/>
        <rFont val="Calibri"/>
        <family val="2"/>
      </rPr>
      <t>3</t>
    </r>
    <r>
      <rPr>
        <sz val="10"/>
        <rFont val="Calibri"/>
        <family val="2"/>
      </rPr>
      <t>F</t>
    </r>
    <r>
      <rPr>
        <vertAlign val="subscript"/>
        <sz val="10"/>
        <rFont val="Calibri"/>
        <family val="2"/>
      </rPr>
      <t>7</t>
    </r>
    <r>
      <rPr>
        <sz val="10"/>
        <rFont val="Calibri"/>
        <family val="2"/>
      </rPr>
      <t>COOH</t>
    </r>
  </si>
  <si>
    <r>
      <t>C</t>
    </r>
    <r>
      <rPr>
        <vertAlign val="subscript"/>
        <sz val="10"/>
        <rFont val="Calibri"/>
        <family val="2"/>
      </rPr>
      <t>5</t>
    </r>
    <r>
      <rPr>
        <sz val="10"/>
        <rFont val="Calibri"/>
        <family val="2"/>
      </rPr>
      <t>F</t>
    </r>
    <r>
      <rPr>
        <vertAlign val="subscript"/>
        <sz val="10"/>
        <rFont val="Calibri"/>
        <family val="2"/>
      </rPr>
      <t>11</t>
    </r>
    <r>
      <rPr>
        <sz val="10"/>
        <rFont val="Calibri"/>
        <family val="2"/>
      </rPr>
      <t>COOH</t>
    </r>
  </si>
  <si>
    <r>
      <t>C</t>
    </r>
    <r>
      <rPr>
        <vertAlign val="subscript"/>
        <sz val="10"/>
        <rFont val="Calibri"/>
        <family val="2"/>
      </rPr>
      <t>6</t>
    </r>
    <r>
      <rPr>
        <sz val="10"/>
        <rFont val="Calibri"/>
        <family val="2"/>
      </rPr>
      <t>F</t>
    </r>
    <r>
      <rPr>
        <vertAlign val="subscript"/>
        <sz val="10"/>
        <rFont val="Calibri"/>
        <family val="2"/>
      </rPr>
      <t>13</t>
    </r>
    <r>
      <rPr>
        <sz val="10"/>
        <rFont val="Calibri"/>
        <family val="2"/>
      </rPr>
      <t>COOH</t>
    </r>
  </si>
  <si>
    <r>
      <t>C</t>
    </r>
    <r>
      <rPr>
        <vertAlign val="subscript"/>
        <sz val="10"/>
        <rFont val="Calibri"/>
        <family val="2"/>
      </rPr>
      <t>7</t>
    </r>
    <r>
      <rPr>
        <sz val="10"/>
        <rFont val="Calibri"/>
        <family val="2"/>
      </rPr>
      <t>F</t>
    </r>
    <r>
      <rPr>
        <vertAlign val="subscript"/>
        <sz val="10"/>
        <rFont val="Calibri"/>
        <family val="2"/>
      </rPr>
      <t>15</t>
    </r>
    <r>
      <rPr>
        <sz val="10"/>
        <rFont val="Calibri"/>
        <family val="2"/>
      </rPr>
      <t>COOH</t>
    </r>
  </si>
  <si>
    <r>
      <t>C</t>
    </r>
    <r>
      <rPr>
        <vertAlign val="subscript"/>
        <sz val="10"/>
        <rFont val="Calibri"/>
        <family val="2"/>
      </rPr>
      <t>8</t>
    </r>
    <r>
      <rPr>
        <sz val="10"/>
        <rFont val="Calibri"/>
        <family val="2"/>
      </rPr>
      <t>F</t>
    </r>
    <r>
      <rPr>
        <vertAlign val="subscript"/>
        <sz val="10"/>
        <rFont val="Calibri"/>
        <family val="2"/>
      </rPr>
      <t>17</t>
    </r>
    <r>
      <rPr>
        <sz val="10"/>
        <rFont val="Calibri"/>
        <family val="2"/>
      </rPr>
      <t>COOH</t>
    </r>
  </si>
  <si>
    <r>
      <t>C</t>
    </r>
    <r>
      <rPr>
        <vertAlign val="subscript"/>
        <sz val="10"/>
        <rFont val="Calibri"/>
        <family val="2"/>
      </rPr>
      <t>9</t>
    </r>
    <r>
      <rPr>
        <sz val="10"/>
        <rFont val="Calibri"/>
        <family val="2"/>
      </rPr>
      <t>F</t>
    </r>
    <r>
      <rPr>
        <vertAlign val="subscript"/>
        <sz val="10"/>
        <rFont val="Calibri"/>
        <family val="2"/>
      </rPr>
      <t>19</t>
    </r>
    <r>
      <rPr>
        <sz val="10"/>
        <rFont val="Calibri"/>
        <family val="2"/>
      </rPr>
      <t>COOH</t>
    </r>
  </si>
  <si>
    <r>
      <t>C</t>
    </r>
    <r>
      <rPr>
        <vertAlign val="subscript"/>
        <sz val="10"/>
        <rFont val="Calibri"/>
        <family val="2"/>
      </rPr>
      <t>10</t>
    </r>
    <r>
      <rPr>
        <sz val="10"/>
        <rFont val="Calibri"/>
        <family val="2"/>
      </rPr>
      <t>F</t>
    </r>
    <r>
      <rPr>
        <vertAlign val="subscript"/>
        <sz val="10"/>
        <rFont val="Calibri"/>
        <family val="2"/>
      </rPr>
      <t>21</t>
    </r>
    <r>
      <rPr>
        <sz val="10"/>
        <rFont val="Calibri"/>
        <family val="2"/>
      </rPr>
      <t>COOH</t>
    </r>
  </si>
  <si>
    <r>
      <t>C</t>
    </r>
    <r>
      <rPr>
        <vertAlign val="subscript"/>
        <sz val="10"/>
        <rFont val="Calibri"/>
        <family val="2"/>
      </rPr>
      <t>11</t>
    </r>
    <r>
      <rPr>
        <sz val="10"/>
        <rFont val="Calibri"/>
        <family val="2"/>
      </rPr>
      <t>F</t>
    </r>
    <r>
      <rPr>
        <vertAlign val="subscript"/>
        <sz val="10"/>
        <rFont val="Calibri"/>
        <family val="2"/>
      </rPr>
      <t>23</t>
    </r>
    <r>
      <rPr>
        <sz val="10"/>
        <rFont val="Calibri"/>
        <family val="2"/>
      </rPr>
      <t>COOH</t>
    </r>
  </si>
  <si>
    <r>
      <t>C</t>
    </r>
    <r>
      <rPr>
        <vertAlign val="subscript"/>
        <sz val="10"/>
        <rFont val="Calibri"/>
        <family val="2"/>
      </rPr>
      <t>12</t>
    </r>
    <r>
      <rPr>
        <sz val="10"/>
        <rFont val="Calibri"/>
        <family val="2"/>
      </rPr>
      <t>F</t>
    </r>
    <r>
      <rPr>
        <vertAlign val="subscript"/>
        <sz val="10"/>
        <rFont val="Calibri"/>
        <family val="2"/>
      </rPr>
      <t>25</t>
    </r>
    <r>
      <rPr>
        <sz val="10"/>
        <rFont val="Calibri"/>
        <family val="2"/>
      </rPr>
      <t>COOH</t>
    </r>
  </si>
  <si>
    <r>
      <t>C</t>
    </r>
    <r>
      <rPr>
        <vertAlign val="subscript"/>
        <sz val="10"/>
        <rFont val="Calibri"/>
        <family val="2"/>
      </rPr>
      <t>13</t>
    </r>
    <r>
      <rPr>
        <sz val="10"/>
        <rFont val="Calibri"/>
        <family val="2"/>
      </rPr>
      <t>F</t>
    </r>
    <r>
      <rPr>
        <vertAlign val="subscript"/>
        <sz val="10"/>
        <rFont val="Calibri"/>
        <family val="2"/>
      </rPr>
      <t>27</t>
    </r>
    <r>
      <rPr>
        <sz val="10"/>
        <rFont val="Calibri"/>
        <family val="2"/>
      </rPr>
      <t>COOH</t>
    </r>
  </si>
  <si>
    <r>
      <t>C</t>
    </r>
    <r>
      <rPr>
        <vertAlign val="subscript"/>
        <sz val="10"/>
        <rFont val="Calibri"/>
        <family val="2"/>
      </rPr>
      <t>4</t>
    </r>
    <r>
      <rPr>
        <sz val="10"/>
        <rFont val="Calibri"/>
        <family val="2"/>
      </rPr>
      <t>F</t>
    </r>
    <r>
      <rPr>
        <vertAlign val="subscript"/>
        <sz val="10"/>
        <rFont val="Calibri"/>
        <family val="2"/>
      </rPr>
      <t>9</t>
    </r>
    <r>
      <rPr>
        <sz val="10"/>
        <rFont val="Calibri"/>
        <family val="2"/>
      </rPr>
      <t>SO</t>
    </r>
    <r>
      <rPr>
        <vertAlign val="subscript"/>
        <sz val="10"/>
        <rFont val="Calibri"/>
        <family val="2"/>
      </rPr>
      <t>3</t>
    </r>
    <r>
      <rPr>
        <sz val="10"/>
        <rFont val="Calibri"/>
        <family val="2"/>
      </rPr>
      <t>H</t>
    </r>
  </si>
  <si>
    <r>
      <t>C</t>
    </r>
    <r>
      <rPr>
        <vertAlign val="subscript"/>
        <sz val="10"/>
        <rFont val="Calibri"/>
        <family val="2"/>
      </rPr>
      <t>6</t>
    </r>
    <r>
      <rPr>
        <sz val="10"/>
        <rFont val="Calibri"/>
        <family val="2"/>
      </rPr>
      <t>F</t>
    </r>
    <r>
      <rPr>
        <vertAlign val="subscript"/>
        <sz val="10"/>
        <rFont val="Calibri"/>
        <family val="2"/>
      </rPr>
      <t>13</t>
    </r>
    <r>
      <rPr>
        <sz val="10"/>
        <rFont val="Calibri"/>
        <family val="2"/>
      </rPr>
      <t>SO</t>
    </r>
    <r>
      <rPr>
        <vertAlign val="subscript"/>
        <sz val="10"/>
        <rFont val="Calibri"/>
        <family val="2"/>
      </rPr>
      <t>3</t>
    </r>
    <r>
      <rPr>
        <sz val="10"/>
        <rFont val="Calibri"/>
        <family val="2"/>
      </rPr>
      <t>H</t>
    </r>
  </si>
  <si>
    <r>
      <t>C</t>
    </r>
    <r>
      <rPr>
        <vertAlign val="subscript"/>
        <sz val="10"/>
        <rFont val="Calibri"/>
        <family val="2"/>
      </rPr>
      <t>7</t>
    </r>
    <r>
      <rPr>
        <sz val="10"/>
        <rFont val="Calibri"/>
        <family val="2"/>
      </rPr>
      <t>F</t>
    </r>
    <r>
      <rPr>
        <vertAlign val="subscript"/>
        <sz val="10"/>
        <rFont val="Calibri"/>
        <family val="2"/>
      </rPr>
      <t>15</t>
    </r>
    <r>
      <rPr>
        <sz val="10"/>
        <rFont val="Calibri"/>
        <family val="2"/>
      </rPr>
      <t>SO</t>
    </r>
    <r>
      <rPr>
        <vertAlign val="subscript"/>
        <sz val="10"/>
        <rFont val="Calibri"/>
        <family val="2"/>
      </rPr>
      <t>3</t>
    </r>
    <r>
      <rPr>
        <sz val="10"/>
        <rFont val="Calibri"/>
        <family val="2"/>
      </rPr>
      <t>H</t>
    </r>
  </si>
  <si>
    <r>
      <t>C</t>
    </r>
    <r>
      <rPr>
        <vertAlign val="subscript"/>
        <sz val="10"/>
        <rFont val="Calibri"/>
        <family val="2"/>
      </rPr>
      <t>8</t>
    </r>
    <r>
      <rPr>
        <sz val="10"/>
        <rFont val="Calibri"/>
        <family val="2"/>
      </rPr>
      <t>F</t>
    </r>
    <r>
      <rPr>
        <vertAlign val="subscript"/>
        <sz val="10"/>
        <rFont val="Calibri"/>
        <family val="2"/>
      </rPr>
      <t>17</t>
    </r>
    <r>
      <rPr>
        <sz val="10"/>
        <rFont val="Calibri"/>
        <family val="2"/>
      </rPr>
      <t>SO</t>
    </r>
    <r>
      <rPr>
        <vertAlign val="subscript"/>
        <sz val="10"/>
        <rFont val="Calibri"/>
        <family val="2"/>
      </rPr>
      <t>3</t>
    </r>
    <r>
      <rPr>
        <sz val="10"/>
        <rFont val="Calibri"/>
        <family val="2"/>
      </rPr>
      <t>H</t>
    </r>
  </si>
  <si>
    <r>
      <t>C</t>
    </r>
    <r>
      <rPr>
        <vertAlign val="subscript"/>
        <sz val="10"/>
        <rFont val="Calibri"/>
        <family val="2"/>
      </rPr>
      <t>9</t>
    </r>
    <r>
      <rPr>
        <sz val="10"/>
        <rFont val="Calibri"/>
        <family val="2"/>
      </rPr>
      <t>F</t>
    </r>
    <r>
      <rPr>
        <vertAlign val="subscript"/>
        <sz val="10"/>
        <rFont val="Calibri"/>
        <family val="2"/>
      </rPr>
      <t>19</t>
    </r>
    <r>
      <rPr>
        <sz val="10"/>
        <rFont val="Calibri"/>
        <family val="2"/>
      </rPr>
      <t>SO</t>
    </r>
    <r>
      <rPr>
        <vertAlign val="subscript"/>
        <sz val="10"/>
        <rFont val="Calibri"/>
        <family val="2"/>
      </rPr>
      <t>3</t>
    </r>
    <r>
      <rPr>
        <sz val="10"/>
        <rFont val="Calibri"/>
        <family val="2"/>
      </rPr>
      <t>H</t>
    </r>
  </si>
  <si>
    <r>
      <t>C</t>
    </r>
    <r>
      <rPr>
        <vertAlign val="subscript"/>
        <sz val="10"/>
        <rFont val="Calibri"/>
        <family val="2"/>
      </rPr>
      <t>10</t>
    </r>
    <r>
      <rPr>
        <sz val="10"/>
        <rFont val="Calibri"/>
        <family val="2"/>
      </rPr>
      <t>F</t>
    </r>
    <r>
      <rPr>
        <vertAlign val="subscript"/>
        <sz val="10"/>
        <rFont val="Calibri"/>
        <family val="2"/>
      </rPr>
      <t>21</t>
    </r>
    <r>
      <rPr>
        <sz val="10"/>
        <rFont val="Calibri"/>
        <family val="2"/>
      </rPr>
      <t>SO</t>
    </r>
    <r>
      <rPr>
        <vertAlign val="subscript"/>
        <sz val="10"/>
        <rFont val="Calibri"/>
        <family val="2"/>
      </rPr>
      <t>3</t>
    </r>
    <r>
      <rPr>
        <sz val="10"/>
        <rFont val="Calibri"/>
        <family val="2"/>
      </rPr>
      <t>H</t>
    </r>
  </si>
  <si>
    <r>
      <t>C</t>
    </r>
    <r>
      <rPr>
        <vertAlign val="subscript"/>
        <sz val="10"/>
        <rFont val="Calibri"/>
        <family val="2"/>
      </rPr>
      <t>4</t>
    </r>
    <r>
      <rPr>
        <sz val="10"/>
        <rFont val="Calibri"/>
        <family val="2"/>
      </rPr>
      <t>F</t>
    </r>
    <r>
      <rPr>
        <vertAlign val="subscript"/>
        <sz val="10"/>
        <rFont val="Calibri"/>
        <family val="2"/>
      </rPr>
      <t>9</t>
    </r>
    <r>
      <rPr>
        <sz val="10"/>
        <rFont val="Calibri"/>
        <family val="2"/>
      </rPr>
      <t>(CH</t>
    </r>
    <r>
      <rPr>
        <vertAlign val="subscript"/>
        <sz val="10"/>
        <rFont val="Calibri"/>
        <family val="2"/>
      </rPr>
      <t>2</t>
    </r>
    <r>
      <rPr>
        <sz val="10"/>
        <rFont val="Calibri"/>
        <family val="2"/>
      </rPr>
      <t>)</t>
    </r>
    <r>
      <rPr>
        <vertAlign val="subscript"/>
        <sz val="10"/>
        <rFont val="Calibri"/>
        <family val="2"/>
      </rPr>
      <t>2</t>
    </r>
    <r>
      <rPr>
        <sz val="10"/>
        <rFont val="Calibri"/>
        <family val="2"/>
      </rPr>
      <t>SO</t>
    </r>
    <r>
      <rPr>
        <vertAlign val="subscript"/>
        <sz val="10"/>
        <rFont val="Calibri"/>
        <family val="2"/>
      </rPr>
      <t>3</t>
    </r>
    <r>
      <rPr>
        <sz val="10"/>
        <rFont val="Calibri"/>
        <family val="2"/>
      </rPr>
      <t>H</t>
    </r>
  </si>
  <si>
    <r>
      <t>C</t>
    </r>
    <r>
      <rPr>
        <vertAlign val="subscript"/>
        <sz val="10"/>
        <rFont val="Calibri"/>
        <family val="2"/>
      </rPr>
      <t>6</t>
    </r>
    <r>
      <rPr>
        <sz val="10"/>
        <rFont val="Calibri"/>
        <family val="2"/>
      </rPr>
      <t>F</t>
    </r>
    <r>
      <rPr>
        <vertAlign val="subscript"/>
        <sz val="10"/>
        <rFont val="Calibri"/>
        <family val="2"/>
      </rPr>
      <t>13</t>
    </r>
    <r>
      <rPr>
        <sz val="10"/>
        <rFont val="Calibri"/>
        <family val="2"/>
      </rPr>
      <t>(CH</t>
    </r>
    <r>
      <rPr>
        <vertAlign val="subscript"/>
        <sz val="10"/>
        <rFont val="Calibri"/>
        <family val="2"/>
      </rPr>
      <t>2</t>
    </r>
    <r>
      <rPr>
        <sz val="10"/>
        <rFont val="Calibri"/>
        <family val="2"/>
      </rPr>
      <t>)</t>
    </r>
    <r>
      <rPr>
        <vertAlign val="subscript"/>
        <sz val="10"/>
        <rFont val="Calibri"/>
        <family val="2"/>
      </rPr>
      <t>2</t>
    </r>
    <r>
      <rPr>
        <sz val="10"/>
        <rFont val="Calibri"/>
        <family val="2"/>
      </rPr>
      <t>SO</t>
    </r>
    <r>
      <rPr>
        <vertAlign val="subscript"/>
        <sz val="10"/>
        <rFont val="Calibri"/>
        <family val="2"/>
      </rPr>
      <t>3</t>
    </r>
    <r>
      <rPr>
        <sz val="10"/>
        <rFont val="Calibri"/>
        <family val="2"/>
      </rPr>
      <t>H</t>
    </r>
  </si>
  <si>
    <r>
      <t>C</t>
    </r>
    <r>
      <rPr>
        <vertAlign val="subscript"/>
        <sz val="10"/>
        <rFont val="Calibri"/>
        <family val="2"/>
      </rPr>
      <t>8</t>
    </r>
    <r>
      <rPr>
        <sz val="10"/>
        <rFont val="Calibri"/>
        <family val="2"/>
      </rPr>
      <t>F</t>
    </r>
    <r>
      <rPr>
        <vertAlign val="subscript"/>
        <sz val="10"/>
        <rFont val="Calibri"/>
        <family val="2"/>
      </rPr>
      <t>17</t>
    </r>
    <r>
      <rPr>
        <sz val="10"/>
        <rFont val="Calibri"/>
        <family val="2"/>
      </rPr>
      <t>(CH</t>
    </r>
    <r>
      <rPr>
        <vertAlign val="subscript"/>
        <sz val="10"/>
        <rFont val="Calibri"/>
        <family val="2"/>
      </rPr>
      <t>2</t>
    </r>
    <r>
      <rPr>
        <sz val="10"/>
        <rFont val="Calibri"/>
        <family val="2"/>
      </rPr>
      <t>)</t>
    </r>
    <r>
      <rPr>
        <vertAlign val="subscript"/>
        <sz val="10"/>
        <rFont val="Calibri"/>
        <family val="2"/>
      </rPr>
      <t>2</t>
    </r>
    <r>
      <rPr>
        <sz val="10"/>
        <rFont val="Calibri"/>
        <family val="2"/>
      </rPr>
      <t>SO</t>
    </r>
    <r>
      <rPr>
        <vertAlign val="subscript"/>
        <sz val="10"/>
        <rFont val="Calibri"/>
        <family val="2"/>
      </rPr>
      <t>3</t>
    </r>
    <r>
      <rPr>
        <sz val="10"/>
        <rFont val="Calibri"/>
        <family val="2"/>
      </rPr>
      <t>H</t>
    </r>
  </si>
  <si>
    <r>
      <t>C</t>
    </r>
    <r>
      <rPr>
        <vertAlign val="subscript"/>
        <sz val="10"/>
        <rFont val="Calibri"/>
        <family val="2"/>
      </rPr>
      <t>8</t>
    </r>
    <r>
      <rPr>
        <sz val="10"/>
        <rFont val="Calibri"/>
        <family val="2"/>
      </rPr>
      <t>F</t>
    </r>
    <r>
      <rPr>
        <vertAlign val="subscript"/>
        <sz val="10"/>
        <rFont val="Calibri"/>
        <family val="2"/>
      </rPr>
      <t>17</t>
    </r>
    <r>
      <rPr>
        <sz val="10"/>
        <rFont val="Calibri"/>
        <family val="2"/>
      </rPr>
      <t>SO</t>
    </r>
    <r>
      <rPr>
        <vertAlign val="subscript"/>
        <sz val="10"/>
        <rFont val="Calibri"/>
        <family val="2"/>
      </rPr>
      <t>2</t>
    </r>
    <r>
      <rPr>
        <sz val="10"/>
        <rFont val="Calibri"/>
        <family val="2"/>
      </rPr>
      <t>NH</t>
    </r>
    <r>
      <rPr>
        <vertAlign val="subscript"/>
        <sz val="10"/>
        <rFont val="Calibri"/>
        <family val="2"/>
      </rPr>
      <t>2</t>
    </r>
  </si>
  <si>
    <r>
      <t>C</t>
    </r>
    <r>
      <rPr>
        <vertAlign val="subscript"/>
        <sz val="10"/>
        <rFont val="Calibri"/>
        <family val="2"/>
      </rPr>
      <t>8</t>
    </r>
    <r>
      <rPr>
        <sz val="10"/>
        <rFont val="Calibri"/>
        <family val="2"/>
      </rPr>
      <t>F</t>
    </r>
    <r>
      <rPr>
        <vertAlign val="subscript"/>
        <sz val="10"/>
        <rFont val="Calibri"/>
        <family val="2"/>
      </rPr>
      <t>17</t>
    </r>
    <r>
      <rPr>
        <sz val="10"/>
        <rFont val="Calibri"/>
        <family val="2"/>
      </rPr>
      <t>SO</t>
    </r>
    <r>
      <rPr>
        <vertAlign val="subscript"/>
        <sz val="10"/>
        <rFont val="Calibri"/>
        <family val="2"/>
      </rPr>
      <t>2</t>
    </r>
    <r>
      <rPr>
        <sz val="10"/>
        <rFont val="Calibri"/>
        <family val="2"/>
      </rPr>
      <t>N(CH</t>
    </r>
    <r>
      <rPr>
        <vertAlign val="subscript"/>
        <sz val="10"/>
        <rFont val="Calibri"/>
        <family val="2"/>
      </rPr>
      <t>3</t>
    </r>
    <r>
      <rPr>
        <sz val="10"/>
        <rFont val="Calibri"/>
        <family val="2"/>
      </rPr>
      <t>)CH</t>
    </r>
    <r>
      <rPr>
        <vertAlign val="subscript"/>
        <sz val="10"/>
        <rFont val="Calibri"/>
        <family val="2"/>
      </rPr>
      <t>2</t>
    </r>
    <r>
      <rPr>
        <sz val="10"/>
        <rFont val="Calibri"/>
        <family val="2"/>
      </rPr>
      <t>CO</t>
    </r>
    <r>
      <rPr>
        <vertAlign val="subscript"/>
        <sz val="10"/>
        <rFont val="Calibri"/>
        <family val="2"/>
      </rPr>
      <t>2</t>
    </r>
    <r>
      <rPr>
        <sz val="10"/>
        <rFont val="Calibri"/>
        <family val="2"/>
      </rPr>
      <t>H</t>
    </r>
  </si>
  <si>
    <r>
      <t>C</t>
    </r>
    <r>
      <rPr>
        <vertAlign val="subscript"/>
        <sz val="10"/>
        <rFont val="Calibri"/>
        <family val="2"/>
      </rPr>
      <t>8</t>
    </r>
    <r>
      <rPr>
        <sz val="10"/>
        <rFont val="Calibri"/>
        <family val="2"/>
      </rPr>
      <t>F</t>
    </r>
    <r>
      <rPr>
        <vertAlign val="subscript"/>
        <sz val="10"/>
        <rFont val="Calibri"/>
        <family val="2"/>
      </rPr>
      <t>17</t>
    </r>
    <r>
      <rPr>
        <sz val="10"/>
        <rFont val="Calibri"/>
        <family val="2"/>
      </rPr>
      <t>SO</t>
    </r>
    <r>
      <rPr>
        <vertAlign val="subscript"/>
        <sz val="10"/>
        <rFont val="Calibri"/>
        <family val="2"/>
      </rPr>
      <t>2</t>
    </r>
    <r>
      <rPr>
        <sz val="10"/>
        <rFont val="Calibri"/>
        <family val="2"/>
      </rPr>
      <t>N(C</t>
    </r>
    <r>
      <rPr>
        <vertAlign val="subscript"/>
        <sz val="10"/>
        <rFont val="Calibri"/>
        <family val="2"/>
      </rPr>
      <t>2</t>
    </r>
    <r>
      <rPr>
        <sz val="10"/>
        <rFont val="Calibri"/>
        <family val="2"/>
      </rPr>
      <t>H</t>
    </r>
    <r>
      <rPr>
        <vertAlign val="subscript"/>
        <sz val="10"/>
        <rFont val="Calibri"/>
        <family val="2"/>
      </rPr>
      <t>5</t>
    </r>
    <r>
      <rPr>
        <sz val="10"/>
        <rFont val="Calibri"/>
        <family val="2"/>
      </rPr>
      <t>)CH</t>
    </r>
    <r>
      <rPr>
        <vertAlign val="subscript"/>
        <sz val="10"/>
        <rFont val="Calibri"/>
        <family val="2"/>
      </rPr>
      <t>2</t>
    </r>
    <r>
      <rPr>
        <sz val="10"/>
        <rFont val="Calibri"/>
        <family val="2"/>
      </rPr>
      <t>CO</t>
    </r>
    <r>
      <rPr>
        <vertAlign val="subscript"/>
        <sz val="10"/>
        <rFont val="Calibri"/>
        <family val="2"/>
      </rPr>
      <t>2</t>
    </r>
    <r>
      <rPr>
        <sz val="10"/>
        <rFont val="Calibri"/>
        <family val="2"/>
      </rPr>
      <t>H</t>
    </r>
  </si>
  <si>
    <r>
      <t>C</t>
    </r>
    <r>
      <rPr>
        <vertAlign val="subscript"/>
        <sz val="10"/>
        <rFont val="Calibri"/>
        <family val="2"/>
      </rPr>
      <t>4</t>
    </r>
    <r>
      <rPr>
        <sz val="10"/>
        <rFont val="Calibri"/>
        <family val="2"/>
      </rPr>
      <t>F</t>
    </r>
    <r>
      <rPr>
        <vertAlign val="subscript"/>
        <sz val="10"/>
        <rFont val="Calibri"/>
        <family val="2"/>
      </rPr>
      <t>9</t>
    </r>
    <r>
      <rPr>
        <sz val="10"/>
        <rFont val="Calibri"/>
        <family val="2"/>
      </rPr>
      <t>(CH</t>
    </r>
    <r>
      <rPr>
        <vertAlign val="subscript"/>
        <sz val="10"/>
        <rFont val="Calibri"/>
        <family val="2"/>
      </rPr>
      <t>2</t>
    </r>
    <r>
      <rPr>
        <sz val="10"/>
        <rFont val="Calibri"/>
        <family val="2"/>
      </rPr>
      <t>)</t>
    </r>
    <r>
      <rPr>
        <vertAlign val="subscript"/>
        <sz val="10"/>
        <rFont val="Calibri"/>
        <family val="2"/>
      </rPr>
      <t>2</t>
    </r>
    <r>
      <rPr>
        <sz val="10"/>
        <rFont val="Calibri"/>
        <family val="2"/>
      </rPr>
      <t>OH</t>
    </r>
  </si>
  <si>
    <r>
      <t>C</t>
    </r>
    <r>
      <rPr>
        <vertAlign val="subscript"/>
        <sz val="10"/>
        <rFont val="Calibri"/>
        <family val="2"/>
      </rPr>
      <t>6</t>
    </r>
    <r>
      <rPr>
        <sz val="10"/>
        <rFont val="Calibri"/>
        <family val="2"/>
      </rPr>
      <t>F</t>
    </r>
    <r>
      <rPr>
        <vertAlign val="subscript"/>
        <sz val="10"/>
        <rFont val="Calibri"/>
        <family val="2"/>
      </rPr>
      <t>13</t>
    </r>
    <r>
      <rPr>
        <sz val="10"/>
        <rFont val="Calibri"/>
        <family val="2"/>
      </rPr>
      <t>(CH</t>
    </r>
    <r>
      <rPr>
        <vertAlign val="subscript"/>
        <sz val="10"/>
        <rFont val="Calibri"/>
        <family val="2"/>
      </rPr>
      <t>2</t>
    </r>
    <r>
      <rPr>
        <sz val="10"/>
        <rFont val="Calibri"/>
        <family val="2"/>
      </rPr>
      <t>)</t>
    </r>
    <r>
      <rPr>
        <vertAlign val="subscript"/>
        <sz val="10"/>
        <rFont val="Calibri"/>
        <family val="2"/>
      </rPr>
      <t>2</t>
    </r>
    <r>
      <rPr>
        <sz val="10"/>
        <rFont val="Calibri"/>
        <family val="2"/>
      </rPr>
      <t>OH</t>
    </r>
  </si>
  <si>
    <r>
      <t>C</t>
    </r>
    <r>
      <rPr>
        <vertAlign val="subscript"/>
        <sz val="10"/>
        <rFont val="Calibri"/>
        <family val="2"/>
      </rPr>
      <t>8</t>
    </r>
    <r>
      <rPr>
        <sz val="10"/>
        <rFont val="Calibri"/>
        <family val="2"/>
      </rPr>
      <t>F</t>
    </r>
    <r>
      <rPr>
        <vertAlign val="subscript"/>
        <sz val="10"/>
        <rFont val="Calibri"/>
        <family val="2"/>
      </rPr>
      <t>17</t>
    </r>
    <r>
      <rPr>
        <sz val="10"/>
        <rFont val="Calibri"/>
        <family val="2"/>
      </rPr>
      <t>(CH</t>
    </r>
    <r>
      <rPr>
        <vertAlign val="subscript"/>
        <sz val="10"/>
        <rFont val="Calibri"/>
        <family val="2"/>
      </rPr>
      <t>2</t>
    </r>
    <r>
      <rPr>
        <sz val="10"/>
        <rFont val="Calibri"/>
        <family val="2"/>
      </rPr>
      <t>)</t>
    </r>
    <r>
      <rPr>
        <vertAlign val="subscript"/>
        <sz val="10"/>
        <rFont val="Calibri"/>
        <family val="2"/>
      </rPr>
      <t>2</t>
    </r>
    <r>
      <rPr>
        <sz val="10"/>
        <rFont val="Calibri"/>
        <family val="2"/>
      </rPr>
      <t>OH</t>
    </r>
  </si>
  <si>
    <r>
      <t>C</t>
    </r>
    <r>
      <rPr>
        <vertAlign val="subscript"/>
        <sz val="10"/>
        <rFont val="Calibri"/>
        <family val="2"/>
      </rPr>
      <t>10</t>
    </r>
    <r>
      <rPr>
        <sz val="10"/>
        <rFont val="Calibri"/>
        <family val="2"/>
      </rPr>
      <t>F</t>
    </r>
    <r>
      <rPr>
        <vertAlign val="subscript"/>
        <sz val="10"/>
        <rFont val="Calibri"/>
        <family val="2"/>
      </rPr>
      <t>21</t>
    </r>
    <r>
      <rPr>
        <sz val="10"/>
        <rFont val="Calibri"/>
        <family val="2"/>
      </rPr>
      <t>(CH</t>
    </r>
    <r>
      <rPr>
        <vertAlign val="subscript"/>
        <sz val="10"/>
        <rFont val="Calibri"/>
        <family val="2"/>
      </rPr>
      <t>2</t>
    </r>
    <r>
      <rPr>
        <sz val="10"/>
        <rFont val="Calibri"/>
        <family val="2"/>
      </rPr>
      <t>)</t>
    </r>
    <r>
      <rPr>
        <vertAlign val="subscript"/>
        <sz val="10"/>
        <rFont val="Calibri"/>
        <family val="2"/>
      </rPr>
      <t>2</t>
    </r>
    <r>
      <rPr>
        <sz val="10"/>
        <rFont val="Calibri"/>
        <family val="2"/>
      </rPr>
      <t>OH</t>
    </r>
  </si>
  <si>
    <r>
      <t>C</t>
    </r>
    <r>
      <rPr>
        <vertAlign val="subscript"/>
        <sz val="10"/>
        <rFont val="Calibri"/>
        <family val="2"/>
      </rPr>
      <t>5</t>
    </r>
    <r>
      <rPr>
        <sz val="10"/>
        <rFont val="Calibri"/>
        <family val="2"/>
      </rPr>
      <t>F</t>
    </r>
    <r>
      <rPr>
        <vertAlign val="subscript"/>
        <sz val="10"/>
        <rFont val="Calibri"/>
        <family val="2"/>
      </rPr>
      <t>11</t>
    </r>
    <r>
      <rPr>
        <sz val="10"/>
        <rFont val="Calibri"/>
        <family val="2"/>
      </rPr>
      <t>(CH</t>
    </r>
    <r>
      <rPr>
        <vertAlign val="subscript"/>
        <sz val="10"/>
        <rFont val="Calibri"/>
        <family val="2"/>
      </rPr>
      <t>2</t>
    </r>
    <r>
      <rPr>
        <sz val="10"/>
        <rFont val="Calibri"/>
        <family val="2"/>
      </rPr>
      <t>)</t>
    </r>
    <r>
      <rPr>
        <vertAlign val="subscript"/>
        <sz val="10"/>
        <rFont val="Calibri"/>
        <family val="2"/>
      </rPr>
      <t>2</t>
    </r>
    <r>
      <rPr>
        <sz val="10"/>
        <rFont val="Calibri"/>
        <family val="2"/>
      </rPr>
      <t>COOH</t>
    </r>
  </si>
  <si>
    <r>
      <t>C</t>
    </r>
    <r>
      <rPr>
        <vertAlign val="subscript"/>
        <sz val="10"/>
        <rFont val="Calibri"/>
        <family val="2"/>
      </rPr>
      <t>6</t>
    </r>
    <r>
      <rPr>
        <sz val="10"/>
        <rFont val="Calibri"/>
        <family val="2"/>
      </rPr>
      <t>F</t>
    </r>
    <r>
      <rPr>
        <vertAlign val="subscript"/>
        <sz val="10"/>
        <rFont val="Calibri"/>
        <family val="2"/>
      </rPr>
      <t>13</t>
    </r>
    <r>
      <rPr>
        <sz val="10"/>
        <rFont val="Calibri"/>
        <family val="2"/>
      </rPr>
      <t>CH</t>
    </r>
    <r>
      <rPr>
        <vertAlign val="subscript"/>
        <sz val="10"/>
        <rFont val="Calibri"/>
        <family val="2"/>
      </rPr>
      <t>2</t>
    </r>
    <r>
      <rPr>
        <sz val="10"/>
        <rFont val="Calibri"/>
        <family val="2"/>
      </rPr>
      <t>COOH</t>
    </r>
  </si>
  <si>
    <t>Blaine et al., 2013</t>
  </si>
  <si>
    <t>C5F11SO3H</t>
  </si>
  <si>
    <t>Tomato (Greenhouse)</t>
  </si>
  <si>
    <t>X. strumarium</t>
  </si>
  <si>
    <t>Mudumbi et al., 2014</t>
  </si>
  <si>
    <t>P. australis</t>
  </si>
  <si>
    <t>S. corymbosus</t>
  </si>
  <si>
    <t>P. x canescens</t>
  </si>
  <si>
    <t>P. salicifolium</t>
  </si>
  <si>
    <t>C. congestus</t>
  </si>
  <si>
    <t>P. amphibian</t>
  </si>
  <si>
    <t>F. carica</t>
  </si>
  <si>
    <t>A. schmidtiana</t>
  </si>
  <si>
    <t>E. crassipes</t>
  </si>
  <si>
    <r>
      <t xml:space="preserve">Blaine, A., C. Rich, L. Hundal, C. Lau, M. Mills, K. Harris, and C. Higgins. 2013. Uptake of Perfluroalky Acids into Edible Crops via Land Applied Biosolids: Field and Greenhouse Studies. </t>
    </r>
    <r>
      <rPr>
        <i/>
        <sz val="12"/>
        <color theme="1"/>
        <rFont val="Times New Roman"/>
        <family val="1"/>
      </rPr>
      <t>Environ. Sci. Technol.</t>
    </r>
    <r>
      <rPr>
        <sz val="12"/>
        <color theme="1"/>
        <rFont val="Times New Roman"/>
        <family val="1"/>
      </rPr>
      <t xml:space="preserve"> 47</t>
    </r>
    <r>
      <rPr>
        <b/>
        <sz val="12"/>
        <color theme="1"/>
        <rFont val="Times New Roman"/>
        <family val="1"/>
      </rPr>
      <t>,</t>
    </r>
    <r>
      <rPr>
        <sz val="12"/>
        <color theme="1"/>
        <rFont val="Times New Roman"/>
        <family val="1"/>
      </rPr>
      <t xml:space="preserve"> 14062-14069.</t>
    </r>
  </si>
  <si>
    <r>
      <t xml:space="preserve">Mudumbi, J.B.N., S.K.O. Ntwampe, M. Muganza, and J.O. Okonkwo. 2014. Susceptibility of Riparian Wetland Plants to Perfluorooctanoic Acid (PFOA) Accumulation. </t>
    </r>
    <r>
      <rPr>
        <i/>
        <sz val="12"/>
        <color theme="1"/>
        <rFont val="Times New Roman"/>
        <family val="1"/>
      </rPr>
      <t>Int J Phytoremediation</t>
    </r>
    <r>
      <rPr>
        <sz val="12"/>
        <color theme="1"/>
        <rFont val="Times New Roman"/>
        <family val="1"/>
      </rPr>
      <t xml:space="preserve"> </t>
    </r>
    <r>
      <rPr>
        <b/>
        <sz val="12"/>
        <color theme="1"/>
        <rFont val="Times New Roman"/>
        <family val="1"/>
      </rPr>
      <t>16</t>
    </r>
    <r>
      <rPr>
        <sz val="12"/>
        <color theme="1"/>
        <rFont val="Times New Roman"/>
        <family val="1"/>
      </rPr>
      <t>: 926-936</t>
    </r>
  </si>
  <si>
    <t>Material Sampled</t>
  </si>
  <si>
    <t>Stover</t>
  </si>
  <si>
    <t>Corn</t>
  </si>
  <si>
    <t>Leaves</t>
  </si>
  <si>
    <t>Fruit</t>
  </si>
  <si>
    <t>Roots</t>
  </si>
  <si>
    <r>
      <t>Blaine, A., C. Rich, E. Sedlacko, K. Hyland, C. Stuchnoff, E. Dickenson, and C. Higgins. 2014a. Perfluoroalkyl Acid Uptake in lettuce (</t>
    </r>
    <r>
      <rPr>
        <i/>
        <sz val="12"/>
        <color theme="1"/>
        <rFont val="Times New Roman"/>
        <family val="1"/>
      </rPr>
      <t>Lactuca sativa</t>
    </r>
    <r>
      <rPr>
        <sz val="12"/>
        <color theme="1"/>
        <rFont val="Times New Roman"/>
        <family val="1"/>
      </rPr>
      <t>) and Strawberry (</t>
    </r>
    <r>
      <rPr>
        <i/>
        <sz val="12"/>
        <color theme="1"/>
        <rFont val="Times New Roman"/>
        <family val="1"/>
      </rPr>
      <t>Fragaria ananassa</t>
    </r>
    <r>
      <rPr>
        <sz val="12"/>
        <color theme="1"/>
        <rFont val="Times New Roman"/>
        <family val="1"/>
      </rPr>
      <t xml:space="preserve">) Irrigated with Reclaimed Water. Environ. Sci. Technol.  </t>
    </r>
    <r>
      <rPr>
        <b/>
        <sz val="12"/>
        <color theme="1"/>
        <rFont val="Times New Roman"/>
        <family val="1"/>
      </rPr>
      <t>48</t>
    </r>
    <r>
      <rPr>
        <sz val="12"/>
        <color theme="1"/>
        <rFont val="Times New Roman"/>
        <family val="1"/>
      </rPr>
      <t>: 14361-14368.</t>
    </r>
  </si>
  <si>
    <t>Lettuce (Greenhouse) - Lectuca sativa</t>
  </si>
  <si>
    <r>
      <t>Lettuce (Greenhouse)</t>
    </r>
    <r>
      <rPr>
        <sz val="10"/>
        <rFont val="Calibri"/>
        <family val="2"/>
      </rPr>
      <t xml:space="preserve"> - </t>
    </r>
    <r>
      <rPr>
        <i/>
        <sz val="10"/>
        <rFont val="Calibri"/>
        <family val="2"/>
      </rPr>
      <t>Lectuca sativa</t>
    </r>
  </si>
  <si>
    <t>Lettuce (Field) - Lectuca sativa</t>
  </si>
  <si>
    <t>Tomato (Greenhouse) - Lycopersicon lycopersicum</t>
  </si>
  <si>
    <t>Blaine et al., 2014a</t>
  </si>
  <si>
    <t>Strawberry (Greenhouse) - Fragaria ananassa</t>
  </si>
  <si>
    <t>Blaine et al., 2014b</t>
  </si>
  <si>
    <t>Shoot</t>
  </si>
  <si>
    <t>Root</t>
  </si>
  <si>
    <r>
      <t xml:space="preserve">Pea (Greenhouse) - Pisum sativum </t>
    </r>
    <r>
      <rPr>
        <sz val="10"/>
        <rFont val="Calibri"/>
        <family val="2"/>
      </rPr>
      <t xml:space="preserve">var. </t>
    </r>
    <r>
      <rPr>
        <i/>
        <sz val="10"/>
        <rFont val="Calibri"/>
        <family val="2"/>
      </rPr>
      <t>macrocarpon</t>
    </r>
  </si>
  <si>
    <t>Radish (Greenhouse) - Raphanus sativus</t>
  </si>
  <si>
    <r>
      <t xml:space="preserve">Celery (Greenhouse) - Apium gravolens </t>
    </r>
    <r>
      <rPr>
        <sz val="10"/>
        <rFont val="Calibri"/>
        <family val="2"/>
      </rPr>
      <t xml:space="preserve">var. </t>
    </r>
    <r>
      <rPr>
        <i/>
        <sz val="10"/>
        <rFont val="Calibri"/>
        <family val="2"/>
      </rPr>
      <t>dulce</t>
    </r>
  </si>
  <si>
    <r>
      <t xml:space="preserve">Blaine, A., C. Rich, E. Sedlacko, L. Hundal, K. Kuldip, C. Lau, M. Mills, K. Harris, and C. Higgins. 2014b. Perfluoroalkyl Acid Distribution in Various Plant Compartments of Edible Crops Grown in Biosolids-Amended Soils. </t>
    </r>
    <r>
      <rPr>
        <i/>
        <sz val="12"/>
        <color theme="1"/>
        <rFont val="Times New Roman"/>
        <family val="1"/>
      </rPr>
      <t>Environ. Sci. Technol.</t>
    </r>
    <r>
      <rPr>
        <sz val="12"/>
        <color theme="1"/>
        <rFont val="Times New Roman"/>
        <family val="1"/>
      </rPr>
      <t xml:space="preserve"> </t>
    </r>
    <r>
      <rPr>
        <b/>
        <sz val="12"/>
        <color theme="1"/>
        <rFont val="Times New Roman"/>
        <family val="1"/>
      </rPr>
      <t>48</t>
    </r>
    <r>
      <rPr>
        <sz val="12"/>
        <color theme="1"/>
        <rFont val="Times New Roman"/>
        <family val="1"/>
      </rPr>
      <t>: 7858-7865.</t>
    </r>
  </si>
  <si>
    <r>
      <t xml:space="preserve">Gobelius, L., J. Lewis, and L. Ahrens. 2017. Plant Uptake of Per- and Polyfluoroalkyl Substances at a Contaminated Fire Training Facility to Evaluate the Phytoremediation Potential of Various Plant Species. </t>
    </r>
    <r>
      <rPr>
        <i/>
        <sz val="12"/>
        <color theme="1"/>
        <rFont val="Times New Roman"/>
        <family val="1"/>
      </rPr>
      <t>Environ. Sci. Technol.</t>
    </r>
    <r>
      <rPr>
        <sz val="12"/>
        <color theme="1"/>
        <rFont val="Times New Roman"/>
        <family val="1"/>
      </rPr>
      <t xml:space="preserve"> </t>
    </r>
    <r>
      <rPr>
        <b/>
        <sz val="12"/>
        <color theme="1"/>
        <rFont val="Times New Roman"/>
        <family val="1"/>
      </rPr>
      <t>51</t>
    </r>
    <r>
      <rPr>
        <sz val="12"/>
        <color theme="1"/>
        <rFont val="Times New Roman"/>
        <family val="1"/>
      </rPr>
      <t>: 12602-12610.</t>
    </r>
  </si>
  <si>
    <r>
      <t xml:space="preserve">Pine - Pinus massonlana </t>
    </r>
    <r>
      <rPr>
        <sz val="10"/>
        <rFont val="Calibri"/>
        <family val="2"/>
      </rPr>
      <t>Lamb.</t>
    </r>
  </si>
  <si>
    <t>Zhang et al., 2015</t>
  </si>
  <si>
    <t>Needles</t>
  </si>
  <si>
    <r>
      <t xml:space="preserve">Cypress - Platycladus orientalis </t>
    </r>
    <r>
      <rPr>
        <sz val="10"/>
        <rFont val="Calibri"/>
        <family val="2"/>
      </rPr>
      <t>L.</t>
    </r>
  </si>
  <si>
    <r>
      <t xml:space="preserve">Ginkgo - Ginkgo biloba </t>
    </r>
    <r>
      <rPr>
        <sz val="10"/>
        <rFont val="Calibri"/>
        <family val="2"/>
      </rPr>
      <t>L.</t>
    </r>
  </si>
  <si>
    <r>
      <t>Poplar - Populus</t>
    </r>
    <r>
      <rPr>
        <sz val="10"/>
        <rFont val="Calibri"/>
        <family val="2"/>
      </rPr>
      <t xml:space="preserve"> L.</t>
    </r>
  </si>
  <si>
    <r>
      <t xml:space="preserve">Willow - Salix babylonica </t>
    </r>
    <r>
      <rPr>
        <sz val="10"/>
        <rFont val="Calibri"/>
        <family val="2"/>
      </rPr>
      <t>L.</t>
    </r>
  </si>
  <si>
    <r>
      <t>Sophara - Sophora japonica</t>
    </r>
    <r>
      <rPr>
        <sz val="10"/>
        <rFont val="Calibri"/>
        <family val="2"/>
      </rPr>
      <t xml:space="preserve"> Linn.</t>
    </r>
  </si>
  <si>
    <r>
      <t>Plane tree - Platanus acerifolia</t>
    </r>
    <r>
      <rPr>
        <sz val="10"/>
        <rFont val="Calibri"/>
        <family val="2"/>
      </rPr>
      <t xml:space="preserve"> Ait.</t>
    </r>
  </si>
  <si>
    <r>
      <t xml:space="preserve">Zhang, H., L. Weid, X. He, Y. Wang, and Q. Zhang. 2015. Uptake of Perfluoroalkyl Acids in the Leaves of Coniferous and Deciduous Broad-Leafed Trees. </t>
    </r>
    <r>
      <rPr>
        <i/>
        <sz val="12"/>
        <color theme="1"/>
        <rFont val="Times New Roman"/>
        <family val="1"/>
      </rPr>
      <t>Environ. Toxicol. Chem.</t>
    </r>
    <r>
      <rPr>
        <sz val="12"/>
        <color theme="1"/>
        <rFont val="Times New Roman"/>
        <family val="1"/>
      </rPr>
      <t xml:space="preserve"> </t>
    </r>
    <r>
      <rPr>
        <b/>
        <sz val="12"/>
        <color theme="1"/>
        <rFont val="Times New Roman"/>
        <family val="1"/>
      </rPr>
      <t>34</t>
    </r>
    <r>
      <rPr>
        <sz val="12"/>
        <color theme="1"/>
        <rFont val="Times New Roman"/>
        <family val="1"/>
      </rPr>
      <t>: 1499-1504</t>
    </r>
  </si>
  <si>
    <t>Gobelius et al., 2017</t>
  </si>
  <si>
    <t>Silver Birch (soil BCF) - Betula pendula</t>
  </si>
  <si>
    <t>Silver Birch (groundwater BCF) - Betula pendula</t>
  </si>
  <si>
    <t>Norway spruce (groundwater BCF) - Picea abies</t>
  </si>
  <si>
    <t>Norway spruce (soil BCF) - Picea abies</t>
  </si>
  <si>
    <t>Needles/Tree Tissue</t>
  </si>
  <si>
    <t>Leaves/Tree Tissue</t>
  </si>
  <si>
    <t>Bird cherry (soil BCF) - Prunua padus</t>
  </si>
  <si>
    <t>mountain ash (soil BCF) - Sorbus amcuparia</t>
  </si>
  <si>
    <t>ground elder (soil BCF) - Aegopodium podagraria</t>
  </si>
  <si>
    <t>long beechfern (soil BCF) - Phegopteris connectilis</t>
  </si>
  <si>
    <t>wild strawberry (soil BCF) - Fragaria vesca</t>
  </si>
  <si>
    <t>Leaves/Plant Tissue</t>
  </si>
  <si>
    <t>17 w/o outlier; 34 with outlier</t>
  </si>
  <si>
    <t>4.1 w/o outlier; 6.9 with outlier</t>
  </si>
  <si>
    <t>Table 5-2</t>
  </si>
  <si>
    <t>Partitioning of PFAS into Plants - BCF, BAF and BMF</t>
  </si>
  <si>
    <t>Bioconcentration/Bioaccumulation Factors</t>
  </si>
  <si>
    <t>Bioaccumulation factors (BAFs) were calculated by dividing the concentration in the plant tissue on a dry weight basis by the concentration in the soil on a dry weight basis.</t>
  </si>
  <si>
    <t>Bioconcentration factor (BCF) is a ratio between the concentrations of the contaminant in the plant in comparison to that in the sediment.</t>
  </si>
  <si>
    <t>Bioaccumulation factors (BAFs) for lettuce and fruit-to-soil concentration factors (FCFs) for strawberry fruit were calculated for each PFAA by converting the aqueous concentration (Cw) of irrigation water to an estimated soil concentration (Cs) using the respective solid−water partitioning coefficient (Kd) for each soil and analyte.</t>
  </si>
  <si>
    <t>Bioaccumulation factors (BAFs), ratios between the chemical determined on a dry weight basis in the respective plant tissue and soil, were calculated (eq 1) leading to estimations of root concentration factors (RCFs), shoot concentration factors (SCFs), and fruit concentration factors (FCFs).</t>
  </si>
  <si>
    <t>BCFs related to the soil concentrations (BCFs) and groundwater concentrations (BCFgw) were calculated for individual PFAS by dividing the plant concentration by the soil concentration or the tree concentration over the groundwater concentration.</t>
  </si>
  <si>
    <t>ITRC PFAS Technical and Regulatory Guidance Document</t>
  </si>
  <si>
    <t>The ITRC intends to update this table periodically as new information is gathered. The user is encouraged to visit the ITRC PFAS web page (http://pfas-1.itrcweb.org) to access the current version of this file.</t>
  </si>
  <si>
    <t>See ITRC Disclaimer http://pfas-1.itrcweb.org/about-itrc/#disclaimer</t>
  </si>
  <si>
    <t>Table 5-2 BCF, BAF, and BMF for Plants of Selected PFAS</t>
  </si>
  <si>
    <t>April 2020</t>
  </si>
  <si>
    <t>Table 5-2 Partitioning of PFAS into Plants - BCF, BAF and BMF</t>
  </si>
  <si>
    <t>References</t>
  </si>
  <si>
    <t>Users who identify updates to the material in this table are encouraged to send that information to itrc@itrcweb.org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</si>
</sst>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0000"/>
  </numFmts>
  <fonts count="20" x14ac:knownFonts="1">
    <font>
      <sz val="12"/>
      <color theme="1"/>
      <name val="Calibri"/>
      <family val="2"/>
      <scheme val="minor"/>
    </font>
    <font>
      <b/>
      <sz val="11"/>
      <color theme="1"/>
      <name val="Calibri"/>
      <family val="2"/>
    </font>
    <font>
      <sz val="11"/>
      <color theme="1"/>
      <name val="Calibri"/>
      <family val="2"/>
    </font>
    <font>
      <sz val="11"/>
      <name val="Calibri"/>
      <family val="2"/>
    </font>
    <font>
      <sz val="12"/>
      <name val="Calibri"/>
      <family val="2"/>
      <scheme val="minor"/>
    </font>
    <font>
      <b/>
      <sz val="11"/>
      <name val="Calibri"/>
      <family val="2"/>
    </font>
    <font>
      <sz val="10"/>
      <name val="Calibri"/>
      <family val="2"/>
    </font>
    <font>
      <vertAlign val="subscript"/>
      <sz val="10"/>
      <name val="Calibri"/>
      <family val="2"/>
    </font>
    <font>
      <b/>
      <sz val="10"/>
      <name val="Calibri"/>
      <family val="2"/>
    </font>
    <font>
      <i/>
      <sz val="10"/>
      <name val="Calibri"/>
      <family val="2"/>
    </font>
    <font>
      <i/>
      <sz val="11"/>
      <name val="Calibri"/>
      <family val="2"/>
    </font>
    <font>
      <sz val="12"/>
      <color theme="1"/>
      <name val="Times New Roman"/>
      <family val="1"/>
    </font>
    <font>
      <i/>
      <sz val="12"/>
      <color theme="1"/>
      <name val="Times New Roman"/>
      <family val="1"/>
    </font>
    <font>
      <b/>
      <sz val="12"/>
      <color theme="1"/>
      <name val="Times New Roman"/>
      <family val="1"/>
    </font>
    <font>
      <i/>
      <sz val="11"/>
      <color theme="1"/>
      <name val="Calibri"/>
      <family val="2"/>
    </font>
    <font>
      <b/>
      <sz val="14"/>
      <color theme="1"/>
      <name val="Calibri"/>
      <family val="2"/>
    </font>
    <font>
      <b/>
      <sz val="12"/>
      <color rgb="FFFF0000"/>
      <name val="Calibri"/>
      <family val="2"/>
    </font>
    <font>
      <b/>
      <sz val="12"/>
      <color theme="1"/>
      <name val="Calibri"/>
      <family val="2"/>
      <scheme val="minor"/>
    </font>
    <font>
      <sz val="11"/>
      <color rgb="FF000000"/>
      <name val="Calibri"/>
      <family val="2"/>
    </font>
    <font>
      <sz val="14"/>
      <color theme="1"/>
      <name val="Calibri"/>
      <family val="2"/>
      <scheme val="minor"/>
    </font>
  </fonts>
  <fills count="5">
    <fill>
      <patternFill patternType="none"/>
    </fill>
    <fill>
      <patternFill patternType="gray125"/>
    </fill>
    <fill>
      <patternFill patternType="solid">
        <fgColor rgb="FFD9D9D9"/>
        <bgColor indexed="64"/>
      </patternFill>
    </fill>
    <fill>
      <patternFill patternType="solid">
        <fgColor theme="0"/>
        <bgColor indexed="64"/>
      </patternFill>
    </fill>
    <fill>
      <patternFill patternType="solid">
        <fgColor theme="2" tint="-9.9978637043366805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2">
    <xf numFmtId="0" fontId="0" fillId="0" borderId="0"/>
    <xf numFmtId="0" fontId="18" fillId="0" borderId="0"/>
  </cellStyleXfs>
  <cellXfs count="215">
    <xf numFmtId="0" fontId="0" fillId="0" borderId="0" xfId="0"/>
    <xf numFmtId="0" fontId="2" fillId="0" borderId="0" xfId="0" applyFont="1" applyAlignment="1"/>
    <xf numFmtId="0" fontId="2" fillId="0" borderId="0" xfId="0" applyFont="1" applyFill="1" applyAlignment="1"/>
    <xf numFmtId="0" fontId="2" fillId="0" borderId="0" xfId="0" applyFont="1" applyAlignment="1">
      <alignment vertical="center"/>
    </xf>
    <xf numFmtId="0" fontId="2" fillId="0" borderId="0" xfId="0" applyFont="1" applyFill="1" applyAlignment="1">
      <alignment vertical="center"/>
    </xf>
    <xf numFmtId="164" fontId="3" fillId="0" borderId="0" xfId="0" applyNumberFormat="1" applyFont="1" applyBorder="1" applyAlignment="1">
      <alignment horizontal="center" vertical="center"/>
    </xf>
    <xf numFmtId="0" fontId="3" fillId="0" borderId="0" xfId="0" applyFont="1" applyBorder="1" applyAlignment="1">
      <alignment horizontal="center" vertical="center"/>
    </xf>
    <xf numFmtId="0" fontId="3" fillId="0" borderId="0" xfId="0" applyFont="1" applyAlignment="1">
      <alignment vertical="center"/>
    </xf>
    <xf numFmtId="0" fontId="5" fillId="4" borderId="0" xfId="0" applyFont="1" applyFill="1" applyBorder="1" applyAlignment="1">
      <alignment vertical="center" wrapText="1"/>
    </xf>
    <xf numFmtId="0" fontId="3" fillId="4" borderId="0"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vertical="center" wrapText="1"/>
    </xf>
    <xf numFmtId="0" fontId="3" fillId="0" borderId="0" xfId="0" applyFont="1" applyAlignment="1">
      <alignment horizontal="center" vertical="center"/>
    </xf>
    <xf numFmtId="0" fontId="1" fillId="0" borderId="0" xfId="0" applyFont="1" applyFill="1" applyAlignment="1"/>
    <xf numFmtId="0" fontId="3" fillId="0" borderId="2" xfId="0" applyFont="1" applyBorder="1" applyAlignment="1">
      <alignment horizontal="center" vertical="center"/>
    </xf>
    <xf numFmtId="0" fontId="3" fillId="4" borderId="2" xfId="0" applyFont="1" applyFill="1" applyBorder="1" applyAlignment="1">
      <alignment horizontal="center" vertical="center"/>
    </xf>
    <xf numFmtId="0" fontId="3" fillId="0" borderId="2"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1" fontId="3" fillId="0" borderId="2" xfId="0" applyNumberFormat="1" applyFont="1" applyBorder="1" applyAlignment="1">
      <alignment horizontal="center" vertical="center"/>
    </xf>
    <xf numFmtId="2" fontId="3" fillId="0" borderId="2" xfId="0" applyNumberFormat="1" applyFont="1" applyBorder="1" applyAlignment="1">
      <alignment horizontal="center" vertical="center"/>
    </xf>
    <xf numFmtId="0" fontId="3" fillId="0" borderId="5" xfId="0" applyFont="1" applyBorder="1" applyAlignment="1">
      <alignment horizontal="center" vertical="center"/>
    </xf>
    <xf numFmtId="0" fontId="3" fillId="0" borderId="3" xfId="0" applyFont="1" applyBorder="1" applyAlignment="1">
      <alignment horizontal="right" vertical="center"/>
    </xf>
    <xf numFmtId="0" fontId="3" fillId="4" borderId="3" xfId="0" applyFont="1" applyFill="1" applyBorder="1" applyAlignment="1">
      <alignment horizontal="right" vertical="center"/>
    </xf>
    <xf numFmtId="0" fontId="3" fillId="0" borderId="3" xfId="0" applyFont="1" applyFill="1" applyBorder="1" applyAlignment="1">
      <alignment horizontal="right" vertical="center"/>
    </xf>
    <xf numFmtId="0" fontId="3" fillId="0" borderId="12" xfId="0" applyFont="1" applyBorder="1" applyAlignment="1">
      <alignment horizontal="center" vertical="center"/>
    </xf>
    <xf numFmtId="2" fontId="3" fillId="0" borderId="14" xfId="0" applyNumberFormat="1" applyFont="1" applyBorder="1" applyAlignment="1">
      <alignment horizontal="center" vertical="center"/>
    </xf>
    <xf numFmtId="0" fontId="3" fillId="0" borderId="4" xfId="0" applyFont="1" applyBorder="1" applyAlignment="1">
      <alignment horizontal="right" vertical="center"/>
    </xf>
    <xf numFmtId="0" fontId="3" fillId="0" borderId="5" xfId="0" applyFont="1" applyBorder="1" applyAlignment="1">
      <alignment horizontal="right" vertical="center"/>
    </xf>
    <xf numFmtId="0" fontId="3" fillId="0" borderId="14" xfId="0" applyFont="1" applyBorder="1" applyAlignment="1">
      <alignment horizontal="center" vertical="center"/>
    </xf>
    <xf numFmtId="0" fontId="3" fillId="0" borderId="4" xfId="0" applyFont="1" applyFill="1" applyBorder="1" applyAlignment="1">
      <alignment horizontal="center" vertical="center" wrapText="1"/>
    </xf>
    <xf numFmtId="0" fontId="5" fillId="0" borderId="5" xfId="0" applyFont="1" applyFill="1" applyBorder="1" applyAlignment="1">
      <alignment vertical="center" wrapText="1"/>
    </xf>
    <xf numFmtId="0" fontId="6" fillId="0" borderId="0" xfId="0" applyFont="1" applyBorder="1" applyAlignment="1">
      <alignment horizontal="center" vertical="center"/>
    </xf>
    <xf numFmtId="0" fontId="6" fillId="0" borderId="12" xfId="0" applyFont="1" applyBorder="1" applyAlignment="1">
      <alignment horizontal="center" vertical="center"/>
    </xf>
    <xf numFmtId="0" fontId="6" fillId="0" borderId="10" xfId="0" applyFont="1" applyBorder="1" applyAlignment="1">
      <alignment horizontal="center" vertical="center"/>
    </xf>
    <xf numFmtId="0" fontId="6" fillId="4" borderId="0"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12" xfId="0" applyFont="1" applyFill="1" applyBorder="1" applyAlignment="1">
      <alignment horizontal="center" vertical="center"/>
    </xf>
    <xf numFmtId="0" fontId="6" fillId="0" borderId="10" xfId="0" applyFont="1" applyFill="1" applyBorder="1" applyAlignment="1">
      <alignment horizontal="center" vertical="center"/>
    </xf>
    <xf numFmtId="0" fontId="6" fillId="0" borderId="5" xfId="0" applyFont="1" applyBorder="1" applyAlignment="1">
      <alignment horizontal="right" vertical="center"/>
    </xf>
    <xf numFmtId="0" fontId="6" fillId="0" borderId="4" xfId="0" applyFont="1" applyBorder="1" applyAlignment="1">
      <alignment horizontal="right" vertical="center"/>
    </xf>
    <xf numFmtId="0" fontId="6" fillId="0" borderId="3" xfId="0" applyFont="1" applyBorder="1" applyAlignment="1">
      <alignment horizontal="right" vertical="center"/>
    </xf>
    <xf numFmtId="0" fontId="6" fillId="4" borderId="3" xfId="0" applyFont="1" applyFill="1" applyBorder="1" applyAlignment="1">
      <alignment horizontal="right" vertical="center"/>
    </xf>
    <xf numFmtId="0" fontId="6" fillId="3" borderId="1" xfId="0" applyFont="1" applyFill="1" applyBorder="1" applyAlignment="1">
      <alignment vertical="center" wrapText="1"/>
    </xf>
    <xf numFmtId="0" fontId="6" fillId="3" borderId="3" xfId="0" applyFont="1" applyFill="1" applyBorder="1" applyAlignment="1">
      <alignment vertical="center" wrapText="1"/>
    </xf>
    <xf numFmtId="0" fontId="6" fillId="3" borderId="5" xfId="0" applyFont="1" applyFill="1" applyBorder="1" applyAlignment="1">
      <alignment vertical="center" wrapText="1"/>
    </xf>
    <xf numFmtId="0" fontId="8" fillId="4" borderId="0" xfId="0" applyFont="1" applyFill="1" applyBorder="1" applyAlignment="1">
      <alignment vertical="center"/>
    </xf>
    <xf numFmtId="0" fontId="6" fillId="3" borderId="4" xfId="0" applyFont="1" applyFill="1" applyBorder="1" applyAlignment="1">
      <alignment vertical="center" wrapText="1"/>
    </xf>
    <xf numFmtId="0" fontId="6" fillId="0" borderId="1" xfId="0" applyFont="1" applyBorder="1" applyAlignment="1">
      <alignment vertical="center"/>
    </xf>
    <xf numFmtId="0" fontId="6" fillId="0" borderId="1" xfId="0" applyFont="1" applyFill="1" applyBorder="1" applyAlignment="1">
      <alignment vertical="center" wrapText="1"/>
    </xf>
    <xf numFmtId="0" fontId="6" fillId="0" borderId="4" xfId="0" applyFont="1" applyBorder="1" applyAlignment="1">
      <alignment horizontal="left" vertical="center" wrapText="1"/>
    </xf>
    <xf numFmtId="0" fontId="8" fillId="2" borderId="5" xfId="0" applyFont="1" applyFill="1" applyBorder="1" applyAlignment="1">
      <alignment vertical="center"/>
    </xf>
    <xf numFmtId="0" fontId="6" fillId="0" borderId="8" xfId="0" applyFont="1" applyBorder="1" applyAlignment="1">
      <alignment horizontal="right" vertical="center"/>
    </xf>
    <xf numFmtId="0" fontId="6" fillId="0" borderId="13" xfId="0" applyFont="1" applyBorder="1" applyAlignment="1">
      <alignment horizontal="right" vertical="center"/>
    </xf>
    <xf numFmtId="0" fontId="6" fillId="0" borderId="11" xfId="0" applyFont="1" applyBorder="1" applyAlignment="1">
      <alignment horizontal="right" vertical="center"/>
    </xf>
    <xf numFmtId="0" fontId="6" fillId="4" borderId="8" xfId="0" applyFont="1" applyFill="1" applyBorder="1" applyAlignment="1">
      <alignment horizontal="right" vertical="center"/>
    </xf>
    <xf numFmtId="0" fontId="6" fillId="0" borderId="8" xfId="0" applyFont="1" applyFill="1" applyBorder="1" applyAlignment="1">
      <alignment horizontal="right" vertical="center"/>
    </xf>
    <xf numFmtId="0" fontId="6" fillId="0" borderId="11" xfId="0" applyFont="1" applyBorder="1" applyAlignment="1">
      <alignment vertical="center"/>
    </xf>
    <xf numFmtId="1" fontId="3" fillId="0" borderId="3" xfId="0" applyNumberFormat="1" applyFont="1" applyBorder="1" applyAlignment="1">
      <alignment horizontal="center" vertical="center"/>
    </xf>
    <xf numFmtId="2" fontId="3" fillId="0" borderId="3" xfId="0" applyNumberFormat="1" applyFont="1" applyBorder="1" applyAlignment="1">
      <alignment horizontal="center" vertical="center"/>
    </xf>
    <xf numFmtId="2" fontId="3" fillId="0" borderId="4" xfId="0" applyNumberFormat="1" applyFont="1" applyBorder="1" applyAlignment="1">
      <alignment horizontal="center" vertical="center"/>
    </xf>
    <xf numFmtId="2" fontId="3" fillId="0" borderId="5" xfId="0" applyNumberFormat="1" applyFont="1" applyBorder="1" applyAlignment="1">
      <alignment horizontal="center" vertical="center"/>
    </xf>
    <xf numFmtId="0" fontId="3" fillId="0" borderId="3" xfId="0" applyFont="1" applyFill="1" applyBorder="1" applyAlignment="1">
      <alignment horizontal="center" vertical="center"/>
    </xf>
    <xf numFmtId="2" fontId="3" fillId="0" borderId="4" xfId="0" quotePrefix="1" applyNumberFormat="1" applyFont="1" applyBorder="1" applyAlignment="1">
      <alignment horizontal="center" vertical="center"/>
    </xf>
    <xf numFmtId="2" fontId="3" fillId="0" borderId="3" xfId="0" quotePrefix="1" applyNumberFormat="1" applyFont="1" applyBorder="1" applyAlignment="1">
      <alignment horizontal="center" vertical="center"/>
    </xf>
    <xf numFmtId="0" fontId="9" fillId="0" borderId="4" xfId="0" applyFont="1" applyBorder="1" applyAlignment="1">
      <alignment horizontal="right" vertical="center"/>
    </xf>
    <xf numFmtId="0" fontId="9" fillId="0" borderId="3" xfId="0" applyFont="1" applyBorder="1" applyAlignment="1">
      <alignment horizontal="right" vertical="center"/>
    </xf>
    <xf numFmtId="164" fontId="3" fillId="0" borderId="12" xfId="0" applyNumberFormat="1" applyFont="1" applyBorder="1" applyAlignment="1">
      <alignment horizontal="center" vertical="center"/>
    </xf>
    <xf numFmtId="164" fontId="3" fillId="0" borderId="10" xfId="0" applyNumberFormat="1" applyFont="1" applyBorder="1" applyAlignment="1">
      <alignment horizontal="center" vertical="center"/>
    </xf>
    <xf numFmtId="0" fontId="9" fillId="0" borderId="5" xfId="0" applyFont="1" applyBorder="1" applyAlignment="1">
      <alignment horizontal="right" vertical="center"/>
    </xf>
    <xf numFmtId="164" fontId="3" fillId="0" borderId="2" xfId="0" applyNumberFormat="1" applyFont="1" applyBorder="1" applyAlignment="1">
      <alignment horizontal="center" vertical="center"/>
    </xf>
    <xf numFmtId="0" fontId="6" fillId="0" borderId="4" xfId="0" applyFont="1" applyBorder="1" applyAlignment="1">
      <alignment horizontal="center" vertical="center"/>
    </xf>
    <xf numFmtId="0" fontId="6" fillId="0" borderId="8" xfId="0" applyFont="1" applyBorder="1" applyAlignment="1">
      <alignment horizontal="center" vertical="center"/>
    </xf>
    <xf numFmtId="0" fontId="6" fillId="0" borderId="11" xfId="0" applyFont="1" applyBorder="1" applyAlignment="1">
      <alignment horizontal="center" vertical="center"/>
    </xf>
    <xf numFmtId="0" fontId="6" fillId="0" borderId="13" xfId="0" applyFont="1" applyBorder="1" applyAlignment="1">
      <alignment horizontal="center" vertical="center"/>
    </xf>
    <xf numFmtId="0" fontId="10" fillId="0" borderId="3" xfId="0" applyFont="1" applyBorder="1" applyAlignment="1">
      <alignment horizontal="right" vertical="center"/>
    </xf>
    <xf numFmtId="164" fontId="3" fillId="0" borderId="3" xfId="0" applyNumberFormat="1" applyFont="1" applyBorder="1" applyAlignment="1">
      <alignment horizontal="center" vertical="center"/>
    </xf>
    <xf numFmtId="0" fontId="5" fillId="4" borderId="15" xfId="0" applyFont="1" applyFill="1" applyBorder="1" applyAlignment="1">
      <alignment horizontal="left" vertical="center" wrapText="1"/>
    </xf>
    <xf numFmtId="0" fontId="3" fillId="4" borderId="15" xfId="0" applyFont="1" applyFill="1" applyBorder="1" applyAlignment="1">
      <alignment horizontal="center" vertical="center"/>
    </xf>
    <xf numFmtId="0" fontId="6" fillId="4" borderId="7" xfId="0" applyFont="1" applyFill="1" applyBorder="1" applyAlignment="1">
      <alignment horizontal="center" vertical="center"/>
    </xf>
    <xf numFmtId="0" fontId="11" fillId="0" borderId="0" xfId="0" applyFont="1"/>
    <xf numFmtId="0" fontId="9" fillId="0" borderId="11" xfId="0" applyFont="1" applyBorder="1" applyAlignment="1">
      <alignment horizontal="right" vertical="center"/>
    </xf>
    <xf numFmtId="0" fontId="3" fillId="4" borderId="8" xfId="0" applyFont="1" applyFill="1" applyBorder="1" applyAlignment="1">
      <alignment horizontal="right" vertical="center"/>
    </xf>
    <xf numFmtId="0" fontId="3" fillId="0" borderId="8" xfId="0" applyFont="1" applyFill="1" applyBorder="1" applyAlignment="1">
      <alignment horizontal="right" vertical="center"/>
    </xf>
    <xf numFmtId="0" fontId="3" fillId="0" borderId="8" xfId="0" applyFont="1" applyBorder="1" applyAlignment="1">
      <alignment horizontal="right" vertical="center"/>
    </xf>
    <xf numFmtId="0" fontId="3" fillId="0" borderId="13" xfId="0" applyFont="1" applyBorder="1" applyAlignment="1">
      <alignment horizontal="right" vertical="center"/>
    </xf>
    <xf numFmtId="0" fontId="3" fillId="0" borderId="11" xfId="0" applyFont="1" applyBorder="1" applyAlignment="1">
      <alignment horizontal="right" vertical="center"/>
    </xf>
    <xf numFmtId="0" fontId="6" fillId="0" borderId="3" xfId="0" applyFont="1" applyBorder="1" applyAlignment="1">
      <alignment horizontal="center" vertical="center"/>
    </xf>
    <xf numFmtId="0" fontId="0" fillId="0" borderId="0" xfId="0" applyAlignment="1">
      <alignment horizontal="left" wrapText="1"/>
    </xf>
    <xf numFmtId="1" fontId="3" fillId="0" borderId="3" xfId="0" quotePrefix="1" applyNumberFormat="1" applyFont="1" applyBorder="1" applyAlignment="1">
      <alignment horizontal="center" vertical="center"/>
    </xf>
    <xf numFmtId="165" fontId="3" fillId="0" borderId="3" xfId="0" applyNumberFormat="1" applyFont="1" applyBorder="1" applyAlignment="1">
      <alignment horizontal="center" vertical="center"/>
    </xf>
    <xf numFmtId="0" fontId="3" fillId="0" borderId="9"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5" xfId="0" applyFont="1" applyFill="1" applyBorder="1" applyAlignment="1">
      <alignment horizontal="right" vertical="center"/>
    </xf>
    <xf numFmtId="0" fontId="3" fillId="0" borderId="11" xfId="0" applyFont="1" applyFill="1" applyBorder="1" applyAlignment="1">
      <alignment horizontal="right" vertical="center"/>
    </xf>
    <xf numFmtId="0" fontId="6" fillId="0" borderId="11" xfId="0" applyFont="1" applyFill="1" applyBorder="1" applyAlignment="1">
      <alignment horizontal="right" vertical="center"/>
    </xf>
    <xf numFmtId="165" fontId="3" fillId="0" borderId="2" xfId="0" applyNumberFormat="1" applyFont="1" applyFill="1" applyBorder="1" applyAlignment="1">
      <alignment horizontal="center" vertical="center"/>
    </xf>
    <xf numFmtId="165" fontId="3" fillId="0" borderId="3" xfId="0" quotePrefix="1" applyNumberFormat="1" applyFont="1" applyFill="1" applyBorder="1" applyAlignment="1">
      <alignment horizontal="center" vertical="center"/>
    </xf>
    <xf numFmtId="165" fontId="3" fillId="0" borderId="8" xfId="0" applyNumberFormat="1" applyFont="1" applyFill="1" applyBorder="1" applyAlignment="1">
      <alignment horizontal="center" vertical="center"/>
    </xf>
    <xf numFmtId="0" fontId="14" fillId="0" borderId="0" xfId="0" applyFont="1" applyFill="1" applyAlignment="1"/>
    <xf numFmtId="164" fontId="3" fillId="0" borderId="14" xfId="0" applyNumberFormat="1" applyFont="1" applyFill="1" applyBorder="1" applyAlignment="1">
      <alignment horizontal="center" vertical="center"/>
    </xf>
    <xf numFmtId="164" fontId="3" fillId="0" borderId="4" xfId="0" quotePrefix="1" applyNumberFormat="1" applyFont="1" applyFill="1" applyBorder="1" applyAlignment="1">
      <alignment horizontal="center" vertical="center"/>
    </xf>
    <xf numFmtId="164" fontId="3" fillId="0" borderId="13" xfId="0" applyNumberFormat="1" applyFont="1" applyFill="1" applyBorder="1" applyAlignment="1">
      <alignment horizontal="center" vertical="center"/>
    </xf>
    <xf numFmtId="164" fontId="3" fillId="0" borderId="2" xfId="0" applyNumberFormat="1" applyFont="1" applyFill="1" applyBorder="1" applyAlignment="1">
      <alignment horizontal="center" vertical="center"/>
    </xf>
    <xf numFmtId="164" fontId="3" fillId="0" borderId="3" xfId="0" quotePrefix="1" applyNumberFormat="1" applyFont="1" applyFill="1" applyBorder="1" applyAlignment="1">
      <alignment horizontal="center" vertical="center"/>
    </xf>
    <xf numFmtId="164" fontId="3" fillId="0" borderId="8" xfId="0" applyNumberFormat="1" applyFont="1" applyFill="1" applyBorder="1" applyAlignment="1">
      <alignment horizontal="center" vertical="center"/>
    </xf>
    <xf numFmtId="2" fontId="3" fillId="0" borderId="3" xfId="0" quotePrefix="1" applyNumberFormat="1" applyFont="1" applyFill="1" applyBorder="1" applyAlignment="1">
      <alignment horizontal="center" vertical="center"/>
    </xf>
    <xf numFmtId="1" fontId="3" fillId="0" borderId="3" xfId="0" quotePrefix="1" applyNumberFormat="1" applyFont="1" applyFill="1" applyBorder="1" applyAlignment="1">
      <alignment horizontal="center" vertical="center"/>
    </xf>
    <xf numFmtId="166" fontId="3" fillId="0" borderId="2" xfId="0" applyNumberFormat="1" applyFont="1" applyFill="1" applyBorder="1" applyAlignment="1">
      <alignment horizontal="center" vertical="center"/>
    </xf>
    <xf numFmtId="1" fontId="3" fillId="0" borderId="8" xfId="0" applyNumberFormat="1" applyFont="1" applyFill="1" applyBorder="1" applyAlignment="1">
      <alignment horizontal="center" vertical="center"/>
    </xf>
    <xf numFmtId="164" fontId="3" fillId="0" borderId="9" xfId="0" applyNumberFormat="1" applyFont="1" applyFill="1" applyBorder="1" applyAlignment="1">
      <alignment horizontal="center" vertical="center"/>
    </xf>
    <xf numFmtId="1" fontId="3" fillId="0" borderId="5" xfId="0" quotePrefix="1" applyNumberFormat="1" applyFont="1" applyFill="1" applyBorder="1" applyAlignment="1">
      <alignment horizontal="center" vertical="center"/>
    </xf>
    <xf numFmtId="164" fontId="3" fillId="0" borderId="11" xfId="0" applyNumberFormat="1" applyFont="1" applyFill="1" applyBorder="1" applyAlignment="1">
      <alignment horizontal="center" vertical="center"/>
    </xf>
    <xf numFmtId="1" fontId="3" fillId="0" borderId="4" xfId="0" quotePrefix="1" applyNumberFormat="1" applyFont="1" applyFill="1" applyBorder="1" applyAlignment="1">
      <alignment horizontal="center" vertical="center"/>
    </xf>
    <xf numFmtId="2" fontId="3" fillId="0" borderId="2" xfId="0" applyNumberFormat="1" applyFont="1" applyFill="1" applyBorder="1" applyAlignment="1">
      <alignment horizontal="center" vertical="center"/>
    </xf>
    <xf numFmtId="165" fontId="3" fillId="0" borderId="3" xfId="0" applyNumberFormat="1" applyFont="1" applyFill="1" applyBorder="1" applyAlignment="1">
      <alignment horizontal="center" vertical="center"/>
    </xf>
    <xf numFmtId="164" fontId="3" fillId="0" borderId="5" xfId="0" quotePrefix="1" applyNumberFormat="1" applyFont="1" applyFill="1" applyBorder="1" applyAlignment="1">
      <alignment horizontal="center" vertical="center"/>
    </xf>
    <xf numFmtId="2" fontId="3" fillId="0" borderId="14" xfId="0" applyNumberFormat="1" applyFont="1" applyFill="1" applyBorder="1" applyAlignment="1">
      <alignment horizontal="center" vertical="center"/>
    </xf>
    <xf numFmtId="164" fontId="3" fillId="0" borderId="3" xfId="0" applyNumberFormat="1" applyFont="1" applyFill="1" applyBorder="1" applyAlignment="1">
      <alignment horizontal="center" vertical="center"/>
    </xf>
    <xf numFmtId="2" fontId="3" fillId="0" borderId="5" xfId="0" quotePrefix="1" applyNumberFormat="1" applyFont="1" applyFill="1" applyBorder="1" applyAlignment="1">
      <alignment horizontal="center" vertical="center"/>
    </xf>
    <xf numFmtId="2" fontId="3" fillId="0" borderId="4" xfId="0" applyNumberFormat="1" applyFont="1" applyFill="1" applyBorder="1" applyAlignment="1">
      <alignment horizontal="center" vertical="center"/>
    </xf>
    <xf numFmtId="1" fontId="2" fillId="0" borderId="13" xfId="0" applyNumberFormat="1" applyFont="1" applyFill="1" applyBorder="1" applyAlignment="1">
      <alignment vertical="center"/>
    </xf>
    <xf numFmtId="2" fontId="3" fillId="0" borderId="3" xfId="0" applyNumberFormat="1" applyFont="1" applyFill="1" applyBorder="1" applyAlignment="1">
      <alignment horizontal="center" vertical="center"/>
    </xf>
    <xf numFmtId="1" fontId="2" fillId="0" borderId="8" xfId="0" applyNumberFormat="1" applyFont="1" applyFill="1" applyBorder="1" applyAlignment="1">
      <alignment vertical="center"/>
    </xf>
    <xf numFmtId="1" fontId="3" fillId="0" borderId="2" xfId="0" applyNumberFormat="1" applyFont="1" applyFill="1" applyBorder="1" applyAlignment="1">
      <alignment horizontal="center" vertical="center"/>
    </xf>
    <xf numFmtId="164" fontId="2" fillId="0" borderId="3" xfId="0" applyNumberFormat="1" applyFont="1" applyFill="1" applyBorder="1" applyAlignment="1">
      <alignment horizontal="center" vertical="center"/>
    </xf>
    <xf numFmtId="164" fontId="2" fillId="0" borderId="8" xfId="0" applyNumberFormat="1" applyFont="1" applyFill="1" applyBorder="1" applyAlignment="1">
      <alignment vertical="center"/>
    </xf>
    <xf numFmtId="1" fontId="2" fillId="0" borderId="8" xfId="0" quotePrefix="1" applyNumberFormat="1" applyFont="1" applyFill="1" applyBorder="1" applyAlignment="1">
      <alignment horizontal="right" vertical="center"/>
    </xf>
    <xf numFmtId="164" fontId="2" fillId="0" borderId="3" xfId="0" quotePrefix="1" applyNumberFormat="1" applyFont="1" applyFill="1" applyBorder="1" applyAlignment="1">
      <alignment horizontal="center" vertical="center"/>
    </xf>
    <xf numFmtId="164" fontId="2" fillId="0" borderId="5" xfId="0" quotePrefix="1" applyNumberFormat="1" applyFont="1" applyFill="1" applyBorder="1" applyAlignment="1">
      <alignment horizontal="center" vertical="center"/>
    </xf>
    <xf numFmtId="2" fontId="2" fillId="0" borderId="13" xfId="0" applyNumberFormat="1" applyFont="1" applyFill="1" applyBorder="1" applyAlignment="1">
      <alignment vertical="center"/>
    </xf>
    <xf numFmtId="2" fontId="3" fillId="0" borderId="9" xfId="0" applyNumberFormat="1" applyFont="1" applyFill="1" applyBorder="1" applyAlignment="1">
      <alignment horizontal="center" vertical="center"/>
    </xf>
    <xf numFmtId="2" fontId="3" fillId="0" borderId="5" xfId="0" applyNumberFormat="1" applyFont="1" applyFill="1" applyBorder="1" applyAlignment="1">
      <alignment horizontal="center" vertical="center"/>
    </xf>
    <xf numFmtId="2" fontId="2" fillId="0" borderId="11" xfId="0" applyNumberFormat="1" applyFont="1" applyFill="1" applyBorder="1" applyAlignment="1">
      <alignment vertical="center"/>
    </xf>
    <xf numFmtId="1" fontId="3" fillId="0" borderId="14" xfId="0" applyNumberFormat="1" applyFont="1" applyFill="1" applyBorder="1" applyAlignment="1">
      <alignment vertical="center"/>
    </xf>
    <xf numFmtId="1" fontId="3" fillId="0" borderId="4" xfId="0" applyNumberFormat="1" applyFont="1" applyFill="1" applyBorder="1" applyAlignment="1">
      <alignment horizontal="center" vertical="center"/>
    </xf>
    <xf numFmtId="1" fontId="3" fillId="0" borderId="2" xfId="0" applyNumberFormat="1" applyFont="1" applyFill="1" applyBorder="1" applyAlignment="1">
      <alignment vertical="center"/>
    </xf>
    <xf numFmtId="1" fontId="3" fillId="0" borderId="3" xfId="0" applyNumberFormat="1" applyFont="1" applyFill="1" applyBorder="1" applyAlignment="1">
      <alignment horizontal="center" vertical="center"/>
    </xf>
    <xf numFmtId="1" fontId="3" fillId="0" borderId="14" xfId="0" applyNumberFormat="1" applyFont="1" applyFill="1" applyBorder="1" applyAlignment="1">
      <alignment horizontal="center" vertical="center"/>
    </xf>
    <xf numFmtId="1" fontId="3" fillId="0" borderId="9" xfId="0" applyNumberFormat="1" applyFont="1" applyFill="1" applyBorder="1" applyAlignment="1">
      <alignment horizontal="center" vertical="center"/>
    </xf>
    <xf numFmtId="1" fontId="3" fillId="0" borderId="5" xfId="0" applyNumberFormat="1" applyFont="1" applyFill="1" applyBorder="1" applyAlignment="1">
      <alignment horizontal="center" vertical="center"/>
    </xf>
    <xf numFmtId="1" fontId="3" fillId="0" borderId="11" xfId="0" applyNumberFormat="1" applyFont="1" applyFill="1" applyBorder="1" applyAlignment="1">
      <alignment horizontal="center" vertical="center"/>
    </xf>
    <xf numFmtId="1" fontId="3" fillId="0" borderId="13" xfId="0" applyNumberFormat="1" applyFont="1" applyFill="1" applyBorder="1" applyAlignment="1">
      <alignment horizontal="center" vertical="center"/>
    </xf>
    <xf numFmtId="2" fontId="3" fillId="0" borderId="0" xfId="0" applyNumberFormat="1" applyFont="1" applyFill="1" applyBorder="1" applyAlignment="1">
      <alignment horizontal="center" vertical="center"/>
    </xf>
    <xf numFmtId="164" fontId="2" fillId="0" borderId="12" xfId="0" applyNumberFormat="1" applyFont="1" applyFill="1" applyBorder="1" applyAlignment="1">
      <alignment vertical="center"/>
    </xf>
    <xf numFmtId="164" fontId="2" fillId="0" borderId="0" xfId="0" applyNumberFormat="1" applyFont="1" applyFill="1" applyBorder="1" applyAlignment="1">
      <alignment vertical="center"/>
    </xf>
    <xf numFmtId="164" fontId="2" fillId="0" borderId="10" xfId="0" applyNumberFormat="1" applyFont="1" applyFill="1" applyBorder="1" applyAlignment="1">
      <alignment vertical="center"/>
    </xf>
    <xf numFmtId="1" fontId="2" fillId="0" borderId="12" xfId="0" applyNumberFormat="1" applyFont="1" applyFill="1" applyBorder="1" applyAlignment="1">
      <alignment vertical="center"/>
    </xf>
    <xf numFmtId="1" fontId="2" fillId="0" borderId="0" xfId="0" applyNumberFormat="1" applyFont="1" applyFill="1" applyBorder="1" applyAlignment="1">
      <alignment vertical="center"/>
    </xf>
    <xf numFmtId="2" fontId="2" fillId="0" borderId="0" xfId="0" applyNumberFormat="1" applyFont="1" applyFill="1" applyBorder="1" applyAlignment="1">
      <alignment horizontal="center" vertical="center"/>
    </xf>
    <xf numFmtId="1" fontId="3" fillId="0" borderId="0" xfId="0" applyNumberFormat="1" applyFont="1" applyFill="1" applyBorder="1" applyAlignment="1">
      <alignment horizontal="center" vertical="center"/>
    </xf>
    <xf numFmtId="2" fontId="3" fillId="0" borderId="8" xfId="0" applyNumberFormat="1" applyFont="1" applyFill="1" applyBorder="1" applyAlignment="1">
      <alignment horizontal="center" vertical="center"/>
    </xf>
    <xf numFmtId="167" fontId="3" fillId="0" borderId="2" xfId="0" applyNumberFormat="1" applyFont="1" applyFill="1" applyBorder="1" applyAlignment="1">
      <alignment horizontal="center" vertical="center"/>
    </xf>
    <xf numFmtId="166" fontId="3" fillId="0" borderId="3" xfId="0" applyNumberFormat="1" applyFont="1" applyFill="1" applyBorder="1" applyAlignment="1">
      <alignment horizontal="center" vertical="center"/>
    </xf>
    <xf numFmtId="1" fontId="2" fillId="0" borderId="10" xfId="0" applyNumberFormat="1" applyFont="1" applyFill="1" applyBorder="1" applyAlignment="1">
      <alignment vertical="center"/>
    </xf>
    <xf numFmtId="2" fontId="3" fillId="0" borderId="12" xfId="0" applyNumberFormat="1" applyFont="1" applyFill="1" applyBorder="1" applyAlignment="1">
      <alignment horizontal="center" vertical="center"/>
    </xf>
    <xf numFmtId="2" fontId="3" fillId="0" borderId="10" xfId="0" applyNumberFormat="1" applyFont="1" applyFill="1" applyBorder="1" applyAlignment="1">
      <alignment horizontal="center" vertical="center"/>
    </xf>
    <xf numFmtId="0" fontId="3" fillId="0" borderId="14"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13" xfId="0" applyFont="1" applyFill="1" applyBorder="1" applyAlignment="1">
      <alignment horizontal="center" vertical="center"/>
    </xf>
    <xf numFmtId="0" fontId="6" fillId="3" borderId="4" xfId="0" applyFont="1" applyFill="1" applyBorder="1" applyAlignment="1">
      <alignment horizontal="left" vertical="center" wrapText="1"/>
    </xf>
    <xf numFmtId="0" fontId="6" fillId="3" borderId="3" xfId="0" applyFont="1" applyFill="1" applyBorder="1" applyAlignment="1">
      <alignment horizontal="left" vertical="center" wrapText="1"/>
    </xf>
    <xf numFmtId="0" fontId="8" fillId="4" borderId="6" xfId="0" applyFont="1" applyFill="1" applyBorder="1" applyAlignment="1">
      <alignment horizontal="left" vertical="center"/>
    </xf>
    <xf numFmtId="0" fontId="9" fillId="0" borderId="3" xfId="0" applyFont="1" applyFill="1" applyBorder="1" applyAlignment="1">
      <alignment horizontal="right" vertical="center"/>
    </xf>
    <xf numFmtId="0" fontId="8" fillId="4" borderId="6" xfId="0" applyFont="1" applyFill="1" applyBorder="1" applyAlignment="1">
      <alignment vertical="center"/>
    </xf>
    <xf numFmtId="0" fontId="5" fillId="4" borderId="15" xfId="0" applyFont="1" applyFill="1" applyBorder="1" applyAlignment="1">
      <alignment vertical="center" wrapText="1"/>
    </xf>
    <xf numFmtId="0" fontId="6" fillId="4" borderId="1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1" xfId="0" applyFont="1" applyFill="1" applyBorder="1" applyAlignment="1">
      <alignment horizontal="right" vertical="center"/>
    </xf>
    <xf numFmtId="0" fontId="3" fillId="4" borderId="7" xfId="0" applyFont="1" applyFill="1" applyBorder="1" applyAlignment="1">
      <alignment horizontal="right" vertical="center"/>
    </xf>
    <xf numFmtId="0" fontId="6" fillId="4" borderId="7" xfId="0" applyFont="1" applyFill="1" applyBorder="1" applyAlignment="1">
      <alignment horizontal="right" vertical="center"/>
    </xf>
    <xf numFmtId="0" fontId="15" fillId="0" borderId="1" xfId="0" applyFont="1" applyBorder="1" applyAlignment="1">
      <alignment vertical="center"/>
    </xf>
    <xf numFmtId="0" fontId="15" fillId="0" borderId="1" xfId="0" applyFont="1" applyBorder="1" applyAlignment="1">
      <alignment horizontal="center" vertical="center" wrapText="1"/>
    </xf>
    <xf numFmtId="0" fontId="15" fillId="0" borderId="1" xfId="0" applyFont="1" applyFill="1" applyBorder="1" applyAlignment="1">
      <alignment horizontal="center" vertical="center" wrapText="1"/>
    </xf>
    <xf numFmtId="0" fontId="16" fillId="0" borderId="0" xfId="0" applyFont="1" applyAlignment="1"/>
    <xf numFmtId="0" fontId="17" fillId="0" borderId="0" xfId="0" quotePrefix="1" applyFont="1"/>
    <xf numFmtId="0" fontId="19" fillId="3" borderId="0" xfId="1" applyFont="1" applyFill="1"/>
    <xf numFmtId="0" fontId="17" fillId="0" borderId="0" xfId="0" applyFont="1"/>
    <xf numFmtId="0" fontId="3" fillId="0" borderId="0"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5" xfId="0" applyFont="1" applyFill="1" applyBorder="1" applyAlignment="1">
      <alignment horizontal="left" vertical="center" wrapText="1"/>
    </xf>
    <xf numFmtId="0" fontId="4" fillId="0" borderId="4" xfId="0" applyFont="1" applyBorder="1" applyAlignment="1">
      <alignment horizontal="left" vertical="center"/>
    </xf>
    <xf numFmtId="0" fontId="4" fillId="0" borderId="3" xfId="0" applyFont="1" applyBorder="1" applyAlignment="1">
      <alignment horizontal="left" vertical="center"/>
    </xf>
    <xf numFmtId="0" fontId="4" fillId="0" borderId="5" xfId="0" applyFont="1" applyBorder="1" applyAlignment="1">
      <alignment horizontal="left" vertical="center"/>
    </xf>
    <xf numFmtId="0" fontId="6" fillId="3" borderId="14" xfId="0" applyFont="1" applyFill="1" applyBorder="1" applyAlignment="1">
      <alignment horizontal="left" vertical="center" wrapText="1"/>
    </xf>
    <xf numFmtId="0" fontId="6" fillId="3" borderId="9" xfId="0" applyFont="1" applyFill="1" applyBorder="1" applyAlignment="1">
      <alignment horizontal="left" vertical="center" wrapText="1"/>
    </xf>
    <xf numFmtId="0" fontId="6" fillId="3" borderId="4"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15" fillId="0" borderId="1" xfId="0" applyFont="1" applyBorder="1" applyAlignment="1">
      <alignment horizontal="center" vertical="center"/>
    </xf>
    <xf numFmtId="0" fontId="15" fillId="0" borderId="4"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1" xfId="0" applyFont="1" applyBorder="1" applyAlignment="1">
      <alignment horizontal="center" vertical="center" wrapText="1"/>
    </xf>
    <xf numFmtId="0" fontId="6" fillId="3" borderId="4" xfId="0" applyFont="1" applyFill="1" applyBorder="1" applyAlignment="1">
      <alignment horizontal="left" vertical="top" wrapText="1"/>
    </xf>
    <xf numFmtId="0" fontId="6" fillId="3" borderId="3" xfId="0" applyFont="1" applyFill="1" applyBorder="1" applyAlignment="1">
      <alignment horizontal="left" vertical="top" wrapText="1"/>
    </xf>
    <xf numFmtId="0" fontId="6" fillId="3" borderId="5" xfId="0" applyFont="1" applyFill="1" applyBorder="1" applyAlignment="1">
      <alignment horizontal="left" vertical="top" wrapText="1"/>
    </xf>
    <xf numFmtId="0" fontId="3" fillId="3" borderId="4" xfId="0" applyFont="1" applyFill="1" applyBorder="1" applyAlignment="1">
      <alignment horizontal="left" vertical="center" wrapText="1"/>
    </xf>
    <xf numFmtId="0" fontId="3" fillId="3" borderId="3" xfId="0" applyFont="1" applyFill="1" applyBorder="1" applyAlignment="1">
      <alignment horizontal="left" vertical="center" wrapText="1"/>
    </xf>
    <xf numFmtId="0" fontId="0" fillId="0" borderId="0" xfId="0" applyAlignment="1">
      <alignment horizontal="left" wrapText="1"/>
    </xf>
  </cellXfs>
  <cellStyles count="2">
    <cellStyle name="Normal" xfId="0" builtinId="0"/>
    <cellStyle name="Normal 2" xfId="1" xr:uid="{1E620081-DDFB-914A-8607-C8375D2641D2}"/>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41D24-1DD0-414C-B55E-E2D81444D56E}">
  <dimension ref="B2:B11"/>
  <sheetViews>
    <sheetView tabSelected="1" workbookViewId="0">
      <selection activeCell="B4" sqref="B4"/>
    </sheetView>
  </sheetViews>
  <sheetFormatPr baseColWidth="10" defaultRowHeight="16" x14ac:dyDescent="0.2"/>
  <sheetData>
    <row r="2" spans="2:2" x14ac:dyDescent="0.2">
      <c r="B2" t="s">
        <v>192</v>
      </c>
    </row>
    <row r="3" spans="2:2" x14ac:dyDescent="0.2">
      <c r="B3" t="s">
        <v>195</v>
      </c>
    </row>
    <row r="4" spans="2:2" x14ac:dyDescent="0.2">
      <c r="B4" t="s">
        <v>193</v>
      </c>
    </row>
    <row r="6" spans="2:2" x14ac:dyDescent="0.2">
      <c r="B6" t="s">
        <v>199</v>
      </c>
    </row>
    <row r="8" spans="2:2" x14ac:dyDescent="0.2">
      <c r="B8" s="180" t="s">
        <v>196</v>
      </c>
    </row>
    <row r="11" spans="2:2" ht="19" x14ac:dyDescent="0.25">
      <c r="B11" s="181" t="s">
        <v>194</v>
      </c>
    </row>
  </sheetData>
  <sheetProtection algorithmName="SHA-512" hashValue="/2A8IAomINImcHdQ2MsunXqQHvjn99kyIFhAQ1Z/LJGiNi9mT9L+uytXgyvhKYsmRIFV6nAb+AsPudPcolu4aw==" saltValue="QrFMBBz1mk9P2FbXt+ksw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4"/>
  <sheetViews>
    <sheetView zoomScale="110" zoomScaleNormal="110" workbookViewId="0">
      <pane xSplit="5" ySplit="7" topLeftCell="F8" activePane="bottomRight" state="frozen"/>
      <selection pane="topRight" activeCell="F1" sqref="F1"/>
      <selection pane="bottomLeft" activeCell="A7" sqref="A7"/>
      <selection pane="bottomRight" activeCell="B1" sqref="B1"/>
    </sheetView>
  </sheetViews>
  <sheetFormatPr baseColWidth="10" defaultColWidth="10.6640625" defaultRowHeight="15" x14ac:dyDescent="0.2"/>
  <cols>
    <col min="1" max="1" width="24.6640625" style="1" customWidth="1"/>
    <col min="2" max="2" width="9" style="2" customWidth="1"/>
    <col min="3" max="3" width="9.1640625" style="1" customWidth="1"/>
    <col min="4" max="4" width="21.6640625" style="1" customWidth="1"/>
    <col min="5" max="5" width="10.1640625" style="1" customWidth="1"/>
    <col min="6" max="8" width="15.6640625" style="2" customWidth="1"/>
    <col min="9" max="9" width="47.1640625" style="1" bestFit="1" customWidth="1"/>
    <col min="10" max="10" width="17" style="1" customWidth="1"/>
    <col min="11" max="11" width="17.5" style="1" customWidth="1"/>
    <col min="12" max="16384" width="10.6640625" style="1"/>
  </cols>
  <sheetData>
    <row r="1" spans="1:11" ht="16" x14ac:dyDescent="0.2">
      <c r="A1" s="179" t="str">
        <f>ReadMe!B8</f>
        <v>April 2020</v>
      </c>
    </row>
    <row r="2" spans="1:11" x14ac:dyDescent="0.2">
      <c r="A2" s="15" t="s">
        <v>184</v>
      </c>
    </row>
    <row r="3" spans="1:11" x14ac:dyDescent="0.2">
      <c r="A3" s="15" t="s">
        <v>185</v>
      </c>
    </row>
    <row r="4" spans="1:11" ht="16" x14ac:dyDescent="0.2">
      <c r="A4" t="s">
        <v>193</v>
      </c>
      <c r="H4" s="104"/>
    </row>
    <row r="6" spans="1:11" ht="16.5" customHeight="1" x14ac:dyDescent="0.2">
      <c r="A6" s="203" t="s">
        <v>93</v>
      </c>
      <c r="B6" s="206" t="s">
        <v>34</v>
      </c>
      <c r="C6" s="176"/>
      <c r="D6" s="176"/>
      <c r="E6" s="207" t="s">
        <v>9</v>
      </c>
      <c r="F6" s="205" t="s">
        <v>186</v>
      </c>
      <c r="G6" s="205"/>
      <c r="H6" s="205"/>
      <c r="I6" s="202" t="s">
        <v>92</v>
      </c>
      <c r="J6" s="208" t="s">
        <v>138</v>
      </c>
      <c r="K6" s="202" t="s">
        <v>91</v>
      </c>
    </row>
    <row r="7" spans="1:11" ht="60" x14ac:dyDescent="0.2">
      <c r="A7" s="204"/>
      <c r="B7" s="206"/>
      <c r="C7" s="177" t="s">
        <v>5</v>
      </c>
      <c r="D7" s="177" t="s">
        <v>6</v>
      </c>
      <c r="E7" s="207"/>
      <c r="F7" s="178" t="s">
        <v>88</v>
      </c>
      <c r="G7" s="178" t="s">
        <v>89</v>
      </c>
      <c r="H7" s="178" t="s">
        <v>90</v>
      </c>
      <c r="I7" s="202"/>
      <c r="J7" s="208"/>
      <c r="K7" s="202"/>
    </row>
    <row r="8" spans="1:11" ht="15.75" customHeight="1" x14ac:dyDescent="0.2">
      <c r="A8" s="51" t="s">
        <v>33</v>
      </c>
      <c r="B8" s="191" t="s">
        <v>35</v>
      </c>
      <c r="C8" s="71">
        <v>214</v>
      </c>
      <c r="D8" s="37" t="s">
        <v>94</v>
      </c>
      <c r="E8" s="33"/>
      <c r="F8" s="105"/>
      <c r="G8" s="106"/>
      <c r="H8" s="107"/>
      <c r="I8" s="69" t="s">
        <v>146</v>
      </c>
      <c r="J8" s="75" t="s">
        <v>141</v>
      </c>
      <c r="K8" s="57" t="s">
        <v>122</v>
      </c>
    </row>
    <row r="9" spans="1:11" ht="15.75" customHeight="1" x14ac:dyDescent="0.2">
      <c r="A9" s="48"/>
      <c r="B9" s="192"/>
      <c r="C9" s="5"/>
      <c r="D9" s="36"/>
      <c r="E9" s="16"/>
      <c r="F9" s="108"/>
      <c r="G9" s="109"/>
      <c r="H9" s="110"/>
      <c r="I9" s="70" t="s">
        <v>147</v>
      </c>
      <c r="J9" s="91" t="s">
        <v>141</v>
      </c>
      <c r="K9" s="56" t="s">
        <v>122</v>
      </c>
    </row>
    <row r="10" spans="1:11" ht="15.75" customHeight="1" x14ac:dyDescent="0.2">
      <c r="A10" s="48"/>
      <c r="B10" s="192"/>
      <c r="C10" s="5"/>
      <c r="D10" s="36"/>
      <c r="E10" s="16"/>
      <c r="F10" s="108"/>
      <c r="G10" s="109"/>
      <c r="H10" s="110"/>
      <c r="I10" s="70" t="s">
        <v>145</v>
      </c>
      <c r="J10" s="91" t="s">
        <v>141</v>
      </c>
      <c r="K10" s="56" t="s">
        <v>149</v>
      </c>
    </row>
    <row r="11" spans="1:11" ht="15.75" customHeight="1" x14ac:dyDescent="0.2">
      <c r="A11" s="48"/>
      <c r="B11" s="192"/>
      <c r="C11" s="5"/>
      <c r="D11" s="36"/>
      <c r="E11" s="16"/>
      <c r="F11" s="108"/>
      <c r="G11" s="109"/>
      <c r="H11" s="110"/>
      <c r="I11" s="70" t="s">
        <v>140</v>
      </c>
      <c r="J11" s="91" t="s">
        <v>139</v>
      </c>
      <c r="K11" s="45" t="s">
        <v>122</v>
      </c>
    </row>
    <row r="12" spans="1:11" ht="15.75" customHeight="1" x14ac:dyDescent="0.2">
      <c r="A12" s="48"/>
      <c r="B12" s="192"/>
      <c r="C12" s="5"/>
      <c r="D12" s="36"/>
      <c r="E12" s="16"/>
      <c r="F12" s="108"/>
      <c r="G12" s="109"/>
      <c r="H12" s="110"/>
      <c r="I12" s="70" t="s">
        <v>148</v>
      </c>
      <c r="J12" s="76" t="s">
        <v>142</v>
      </c>
      <c r="K12" s="56" t="s">
        <v>122</v>
      </c>
    </row>
    <row r="13" spans="1:11" ht="15.75" customHeight="1" x14ac:dyDescent="0.2">
      <c r="A13" s="48"/>
      <c r="B13" s="192"/>
      <c r="C13" s="5"/>
      <c r="D13" s="36"/>
      <c r="E13" s="16"/>
      <c r="F13" s="108"/>
      <c r="G13" s="111">
        <v>12.16</v>
      </c>
      <c r="H13" s="110"/>
      <c r="I13" s="70" t="s">
        <v>148</v>
      </c>
      <c r="J13" s="76" t="s">
        <v>142</v>
      </c>
      <c r="K13" s="56" t="s">
        <v>151</v>
      </c>
    </row>
    <row r="14" spans="1:11" ht="15.75" customHeight="1" x14ac:dyDescent="0.2">
      <c r="A14" s="48"/>
      <c r="B14" s="192"/>
      <c r="C14" s="5"/>
      <c r="D14" s="36"/>
      <c r="E14" s="16"/>
      <c r="F14" s="108"/>
      <c r="G14" s="111">
        <v>26.03</v>
      </c>
      <c r="H14" s="110"/>
      <c r="I14" s="70" t="s">
        <v>148</v>
      </c>
      <c r="J14" s="76" t="s">
        <v>152</v>
      </c>
      <c r="K14" s="56" t="s">
        <v>151</v>
      </c>
    </row>
    <row r="15" spans="1:11" ht="15.75" customHeight="1" x14ac:dyDescent="0.2">
      <c r="A15" s="48"/>
      <c r="B15" s="192"/>
      <c r="C15" s="5"/>
      <c r="D15" s="36"/>
      <c r="E15" s="16"/>
      <c r="F15" s="108"/>
      <c r="G15" s="111">
        <v>5.04</v>
      </c>
      <c r="H15" s="110"/>
      <c r="I15" s="70" t="s">
        <v>148</v>
      </c>
      <c r="J15" s="76" t="s">
        <v>153</v>
      </c>
      <c r="K15" s="56" t="s">
        <v>151</v>
      </c>
    </row>
    <row r="16" spans="1:11" ht="15.75" customHeight="1" x14ac:dyDescent="0.2">
      <c r="A16" s="48"/>
      <c r="B16" s="192"/>
      <c r="C16" s="5"/>
      <c r="D16" s="36"/>
      <c r="E16" s="16"/>
      <c r="F16" s="108"/>
      <c r="G16" s="111">
        <v>32.07</v>
      </c>
      <c r="H16" s="110"/>
      <c r="I16" s="70" t="s">
        <v>154</v>
      </c>
      <c r="J16" s="76" t="s">
        <v>142</v>
      </c>
      <c r="K16" s="56" t="s">
        <v>151</v>
      </c>
    </row>
    <row r="17" spans="1:12" ht="15.75" customHeight="1" x14ac:dyDescent="0.2">
      <c r="A17" s="48"/>
      <c r="B17" s="192"/>
      <c r="C17" s="5"/>
      <c r="D17" s="36"/>
      <c r="E17" s="16"/>
      <c r="F17" s="108"/>
      <c r="G17" s="111">
        <v>10.89</v>
      </c>
      <c r="H17" s="110"/>
      <c r="I17" s="70" t="s">
        <v>154</v>
      </c>
      <c r="J17" s="76" t="s">
        <v>152</v>
      </c>
      <c r="K17" s="56" t="s">
        <v>151</v>
      </c>
    </row>
    <row r="18" spans="1:12" ht="15.75" customHeight="1" x14ac:dyDescent="0.2">
      <c r="A18" s="48"/>
      <c r="B18" s="192"/>
      <c r="C18" s="5"/>
      <c r="D18" s="36"/>
      <c r="E18" s="16"/>
      <c r="F18" s="108"/>
      <c r="G18" s="111">
        <v>1.93</v>
      </c>
      <c r="H18" s="110"/>
      <c r="I18" s="70" t="s">
        <v>154</v>
      </c>
      <c r="J18" s="76" t="s">
        <v>153</v>
      </c>
      <c r="K18" s="56" t="s">
        <v>151</v>
      </c>
    </row>
    <row r="19" spans="1:12" ht="15.75" customHeight="1" x14ac:dyDescent="0.2">
      <c r="A19" s="48"/>
      <c r="B19" s="192"/>
      <c r="C19" s="5"/>
      <c r="D19" s="36"/>
      <c r="E19" s="16"/>
      <c r="F19" s="108"/>
      <c r="G19" s="111">
        <v>13.82</v>
      </c>
      <c r="H19" s="110"/>
      <c r="I19" s="70" t="s">
        <v>155</v>
      </c>
      <c r="J19" s="76" t="s">
        <v>152</v>
      </c>
      <c r="K19" s="56" t="s">
        <v>151</v>
      </c>
      <c r="L19" s="1" t="s">
        <v>182</v>
      </c>
    </row>
    <row r="20" spans="1:12" ht="15.75" customHeight="1" x14ac:dyDescent="0.2">
      <c r="A20" s="48"/>
      <c r="B20" s="192"/>
      <c r="C20" s="5"/>
      <c r="D20" s="36"/>
      <c r="E20" s="16"/>
      <c r="F20" s="108"/>
      <c r="G20" s="111">
        <v>2.92</v>
      </c>
      <c r="H20" s="110"/>
      <c r="I20" s="70" t="s">
        <v>155</v>
      </c>
      <c r="J20" s="76" t="s">
        <v>153</v>
      </c>
      <c r="K20" s="56" t="s">
        <v>151</v>
      </c>
    </row>
    <row r="21" spans="1:12" ht="15.75" customHeight="1" x14ac:dyDescent="0.2">
      <c r="A21" s="48"/>
      <c r="B21" s="192"/>
      <c r="C21" s="5"/>
      <c r="D21" s="36"/>
      <c r="E21" s="16"/>
      <c r="F21" s="108"/>
      <c r="G21" s="111">
        <v>49.49</v>
      </c>
      <c r="H21" s="110"/>
      <c r="I21" s="70" t="s">
        <v>156</v>
      </c>
      <c r="J21" s="76" t="s">
        <v>152</v>
      </c>
      <c r="K21" s="56" t="s">
        <v>151</v>
      </c>
    </row>
    <row r="22" spans="1:12" ht="15.75" customHeight="1" x14ac:dyDescent="0.2">
      <c r="A22" s="48"/>
      <c r="B22" s="192"/>
      <c r="C22" s="5"/>
      <c r="D22" s="36"/>
      <c r="E22" s="16"/>
      <c r="F22" s="108"/>
      <c r="G22" s="111">
        <v>17.27</v>
      </c>
      <c r="H22" s="110"/>
      <c r="I22" s="70" t="s">
        <v>156</v>
      </c>
      <c r="J22" s="76" t="s">
        <v>153</v>
      </c>
      <c r="K22" s="56" t="s">
        <v>151</v>
      </c>
    </row>
    <row r="23" spans="1:12" ht="15.75" customHeight="1" x14ac:dyDescent="0.2">
      <c r="A23" s="48"/>
      <c r="B23" s="192"/>
      <c r="C23" s="5"/>
      <c r="D23" s="36"/>
      <c r="E23" s="16"/>
      <c r="F23" s="108"/>
      <c r="G23" s="112">
        <v>203</v>
      </c>
      <c r="H23" s="110"/>
      <c r="I23" s="70" t="s">
        <v>150</v>
      </c>
      <c r="J23" s="76" t="s">
        <v>142</v>
      </c>
      <c r="K23" s="56" t="s">
        <v>149</v>
      </c>
    </row>
    <row r="24" spans="1:12" ht="15.75" customHeight="1" x14ac:dyDescent="0.2">
      <c r="A24" s="48"/>
      <c r="B24" s="192"/>
      <c r="C24" s="5"/>
      <c r="D24" s="36"/>
      <c r="E24" s="16"/>
      <c r="F24" s="101">
        <v>0.03</v>
      </c>
      <c r="G24" s="102"/>
      <c r="H24" s="103"/>
      <c r="I24" s="70" t="s">
        <v>171</v>
      </c>
      <c r="J24" s="76" t="s">
        <v>175</v>
      </c>
      <c r="K24" s="56" t="s">
        <v>169</v>
      </c>
    </row>
    <row r="25" spans="1:12" ht="15.75" customHeight="1" x14ac:dyDescent="0.2">
      <c r="A25" s="48"/>
      <c r="B25" s="192"/>
      <c r="C25" s="5"/>
      <c r="D25" s="36"/>
      <c r="E25" s="16"/>
      <c r="F25" s="113">
        <v>8.6999999999999994E-3</v>
      </c>
      <c r="G25" s="109">
        <v>1.5</v>
      </c>
      <c r="H25" s="103">
        <v>0.35</v>
      </c>
      <c r="I25" s="70" t="s">
        <v>170</v>
      </c>
      <c r="J25" s="76" t="s">
        <v>175</v>
      </c>
      <c r="K25" s="56" t="s">
        <v>169</v>
      </c>
    </row>
    <row r="26" spans="1:12" ht="15.75" customHeight="1" x14ac:dyDescent="0.2">
      <c r="A26" s="48"/>
      <c r="B26" s="192"/>
      <c r="C26" s="5"/>
      <c r="D26" s="36"/>
      <c r="E26" s="16"/>
      <c r="F26" s="101">
        <v>0.1</v>
      </c>
      <c r="G26" s="109">
        <v>1.1000000000000001</v>
      </c>
      <c r="H26" s="103">
        <v>0.6</v>
      </c>
      <c r="I26" s="70" t="s">
        <v>172</v>
      </c>
      <c r="J26" s="76" t="s">
        <v>174</v>
      </c>
      <c r="K26" s="56" t="s">
        <v>169</v>
      </c>
    </row>
    <row r="27" spans="1:12" ht="15.75" customHeight="1" x14ac:dyDescent="0.2">
      <c r="A27" s="48"/>
      <c r="B27" s="192"/>
      <c r="C27" s="5"/>
      <c r="D27" s="36"/>
      <c r="E27" s="16"/>
      <c r="F27" s="108">
        <v>5.3</v>
      </c>
      <c r="G27" s="112">
        <v>98</v>
      </c>
      <c r="H27" s="114">
        <v>52</v>
      </c>
      <c r="I27" s="70" t="s">
        <v>173</v>
      </c>
      <c r="J27" s="76" t="s">
        <v>174</v>
      </c>
      <c r="K27" s="56" t="s">
        <v>169</v>
      </c>
    </row>
    <row r="28" spans="1:12" ht="15.75" customHeight="1" x14ac:dyDescent="0.2">
      <c r="A28" s="48"/>
      <c r="B28" s="192"/>
      <c r="C28" s="5"/>
      <c r="D28" s="36"/>
      <c r="E28" s="16"/>
      <c r="F28" s="112">
        <v>8</v>
      </c>
      <c r="G28" s="102"/>
      <c r="H28" s="103"/>
      <c r="I28" s="70" t="s">
        <v>176</v>
      </c>
      <c r="J28" s="76" t="s">
        <v>175</v>
      </c>
      <c r="K28" s="56" t="s">
        <v>169</v>
      </c>
    </row>
    <row r="29" spans="1:12" ht="15.75" customHeight="1" x14ac:dyDescent="0.2">
      <c r="A29" s="48"/>
      <c r="B29" s="192"/>
      <c r="C29" s="5"/>
      <c r="D29" s="36"/>
      <c r="E29" s="16"/>
      <c r="F29" s="108">
        <v>4.7</v>
      </c>
      <c r="G29" s="109">
        <v>4.7</v>
      </c>
      <c r="H29" s="103"/>
      <c r="I29" s="70" t="s">
        <v>179</v>
      </c>
      <c r="J29" s="76" t="s">
        <v>181</v>
      </c>
      <c r="K29" s="56" t="s">
        <v>169</v>
      </c>
    </row>
    <row r="30" spans="1:12" s="3" customFormat="1" ht="16.25" customHeight="1" x14ac:dyDescent="0.2">
      <c r="A30" s="49"/>
      <c r="B30" s="193"/>
      <c r="C30" s="72"/>
      <c r="D30" s="38"/>
      <c r="E30" s="20"/>
      <c r="F30" s="115"/>
      <c r="G30" s="116"/>
      <c r="H30" s="117"/>
      <c r="I30" s="73"/>
      <c r="J30" s="77"/>
      <c r="K30" s="58"/>
    </row>
    <row r="31" spans="1:12" s="3" customFormat="1" ht="16.25" customHeight="1" x14ac:dyDescent="0.2">
      <c r="A31" s="51" t="s">
        <v>36</v>
      </c>
      <c r="B31" s="191" t="s">
        <v>37</v>
      </c>
      <c r="C31" s="71">
        <v>214</v>
      </c>
      <c r="D31" s="75" t="s">
        <v>95</v>
      </c>
      <c r="E31" s="33"/>
      <c r="F31" s="105"/>
      <c r="G31" s="118"/>
      <c r="H31" s="107"/>
      <c r="I31" s="69" t="s">
        <v>145</v>
      </c>
      <c r="J31" s="75" t="s">
        <v>141</v>
      </c>
      <c r="K31" s="57" t="s">
        <v>122</v>
      </c>
    </row>
    <row r="32" spans="1:12" s="3" customFormat="1" ht="16.25" customHeight="1" x14ac:dyDescent="0.2">
      <c r="A32" s="48"/>
      <c r="B32" s="192"/>
      <c r="C32" s="5"/>
      <c r="D32" s="36"/>
      <c r="E32" s="16"/>
      <c r="F32" s="108"/>
      <c r="G32" s="112"/>
      <c r="H32" s="110"/>
      <c r="I32" s="70" t="s">
        <v>145</v>
      </c>
      <c r="J32" s="91" t="s">
        <v>141</v>
      </c>
      <c r="K32" s="56" t="s">
        <v>149</v>
      </c>
    </row>
    <row r="33" spans="1:12" s="3" customFormat="1" ht="16.25" customHeight="1" x14ac:dyDescent="0.2">
      <c r="A33" s="48"/>
      <c r="B33" s="192"/>
      <c r="C33" s="5"/>
      <c r="D33" s="36"/>
      <c r="E33" s="16"/>
      <c r="F33" s="108"/>
      <c r="G33" s="112"/>
      <c r="H33" s="110"/>
      <c r="I33" s="70" t="s">
        <v>148</v>
      </c>
      <c r="J33" s="76" t="s">
        <v>142</v>
      </c>
      <c r="K33" s="56" t="s">
        <v>122</v>
      </c>
    </row>
    <row r="34" spans="1:12" s="3" customFormat="1" ht="16.25" customHeight="1" x14ac:dyDescent="0.2">
      <c r="A34" s="48"/>
      <c r="B34" s="192"/>
      <c r="C34" s="5"/>
      <c r="D34" s="36"/>
      <c r="E34" s="16"/>
      <c r="F34" s="108"/>
      <c r="G34" s="111">
        <v>2.9</v>
      </c>
      <c r="H34" s="110"/>
      <c r="I34" s="70" t="s">
        <v>148</v>
      </c>
      <c r="J34" s="76" t="s">
        <v>142</v>
      </c>
      <c r="K34" s="56" t="s">
        <v>151</v>
      </c>
    </row>
    <row r="35" spans="1:12" s="3" customFormat="1" ht="16.25" customHeight="1" x14ac:dyDescent="0.2">
      <c r="A35" s="48"/>
      <c r="B35" s="192"/>
      <c r="C35" s="5"/>
      <c r="D35" s="36"/>
      <c r="E35" s="16"/>
      <c r="F35" s="108"/>
      <c r="G35" s="111">
        <v>8.93</v>
      </c>
      <c r="H35" s="110"/>
      <c r="I35" s="70" t="s">
        <v>148</v>
      </c>
      <c r="J35" s="76" t="s">
        <v>152</v>
      </c>
      <c r="K35" s="56" t="s">
        <v>151</v>
      </c>
    </row>
    <row r="36" spans="1:12" s="3" customFormat="1" ht="16.25" customHeight="1" x14ac:dyDescent="0.2">
      <c r="A36" s="48"/>
      <c r="B36" s="192"/>
      <c r="C36" s="5"/>
      <c r="D36" s="36"/>
      <c r="E36" s="16"/>
      <c r="F36" s="108"/>
      <c r="G36" s="111">
        <v>1.45</v>
      </c>
      <c r="H36" s="110"/>
      <c r="I36" s="70" t="s">
        <v>148</v>
      </c>
      <c r="J36" s="76" t="s">
        <v>153</v>
      </c>
      <c r="K36" s="56" t="s">
        <v>151</v>
      </c>
    </row>
    <row r="37" spans="1:12" s="3" customFormat="1" ht="16.25" customHeight="1" x14ac:dyDescent="0.2">
      <c r="A37" s="48"/>
      <c r="B37" s="192"/>
      <c r="C37" s="5"/>
      <c r="D37" s="36"/>
      <c r="E37" s="16"/>
      <c r="F37" s="108"/>
      <c r="G37" s="111">
        <v>1.47</v>
      </c>
      <c r="H37" s="110"/>
      <c r="I37" s="70" t="s">
        <v>154</v>
      </c>
      <c r="J37" s="76" t="s">
        <v>142</v>
      </c>
      <c r="K37" s="56" t="s">
        <v>151</v>
      </c>
    </row>
    <row r="38" spans="1:12" s="3" customFormat="1" ht="16.25" customHeight="1" x14ac:dyDescent="0.2">
      <c r="A38" s="48"/>
      <c r="B38" s="192"/>
      <c r="C38" s="5"/>
      <c r="D38" s="36"/>
      <c r="E38" s="16"/>
      <c r="F38" s="108"/>
      <c r="G38" s="111">
        <v>3.46</v>
      </c>
      <c r="H38" s="110"/>
      <c r="I38" s="70" t="s">
        <v>154</v>
      </c>
      <c r="J38" s="76" t="s">
        <v>152</v>
      </c>
      <c r="K38" s="56" t="s">
        <v>151</v>
      </c>
      <c r="L38" s="3" t="s">
        <v>183</v>
      </c>
    </row>
    <row r="39" spans="1:12" s="3" customFormat="1" ht="16.25" customHeight="1" x14ac:dyDescent="0.2">
      <c r="A39" s="48"/>
      <c r="B39" s="192"/>
      <c r="C39" s="5"/>
      <c r="D39" s="36"/>
      <c r="E39" s="16"/>
      <c r="F39" s="108"/>
      <c r="G39" s="111">
        <v>1.04</v>
      </c>
      <c r="H39" s="110"/>
      <c r="I39" s="70" t="s">
        <v>154</v>
      </c>
      <c r="J39" s="76" t="s">
        <v>153</v>
      </c>
      <c r="K39" s="56" t="s">
        <v>151</v>
      </c>
    </row>
    <row r="40" spans="1:12" s="3" customFormat="1" ht="16.25" customHeight="1" x14ac:dyDescent="0.2">
      <c r="A40" s="48"/>
      <c r="B40" s="192"/>
      <c r="C40" s="5"/>
      <c r="D40" s="36"/>
      <c r="E40" s="16"/>
      <c r="F40" s="108"/>
      <c r="G40" s="111">
        <v>3.86</v>
      </c>
      <c r="H40" s="110"/>
      <c r="I40" s="70" t="s">
        <v>155</v>
      </c>
      <c r="J40" s="76" t="s">
        <v>152</v>
      </c>
      <c r="K40" s="56" t="s">
        <v>151</v>
      </c>
    </row>
    <row r="41" spans="1:12" s="3" customFormat="1" ht="16.25" customHeight="1" x14ac:dyDescent="0.2">
      <c r="A41" s="48"/>
      <c r="B41" s="192"/>
      <c r="C41" s="5"/>
      <c r="D41" s="36"/>
      <c r="E41" s="16"/>
      <c r="F41" s="108"/>
      <c r="G41" s="111">
        <v>1.1499999999999999</v>
      </c>
      <c r="H41" s="110"/>
      <c r="I41" s="70" t="s">
        <v>155</v>
      </c>
      <c r="J41" s="76" t="s">
        <v>153</v>
      </c>
      <c r="K41" s="56" t="s">
        <v>151</v>
      </c>
    </row>
    <row r="42" spans="1:12" s="3" customFormat="1" ht="16.25" customHeight="1" x14ac:dyDescent="0.2">
      <c r="A42" s="48"/>
      <c r="B42" s="192"/>
      <c r="C42" s="5"/>
      <c r="D42" s="36"/>
      <c r="E42" s="16"/>
      <c r="F42" s="108"/>
      <c r="G42" s="111">
        <v>11.91</v>
      </c>
      <c r="H42" s="110"/>
      <c r="I42" s="70" t="s">
        <v>156</v>
      </c>
      <c r="J42" s="76" t="s">
        <v>152</v>
      </c>
      <c r="K42" s="56" t="s">
        <v>151</v>
      </c>
    </row>
    <row r="43" spans="1:12" s="3" customFormat="1" ht="16.25" customHeight="1" x14ac:dyDescent="0.2">
      <c r="A43" s="48"/>
      <c r="B43" s="192"/>
      <c r="C43" s="5"/>
      <c r="D43" s="36"/>
      <c r="E43" s="16"/>
      <c r="F43" s="108"/>
      <c r="G43" s="111">
        <v>4.7699999999999996</v>
      </c>
      <c r="H43" s="110"/>
      <c r="I43" s="70" t="s">
        <v>156</v>
      </c>
      <c r="J43" s="76" t="s">
        <v>153</v>
      </c>
      <c r="K43" s="56" t="s">
        <v>151</v>
      </c>
    </row>
    <row r="44" spans="1:12" s="3" customFormat="1" ht="16.25" customHeight="1" x14ac:dyDescent="0.2">
      <c r="A44" s="48"/>
      <c r="B44" s="192"/>
      <c r="C44" s="5"/>
      <c r="D44" s="36"/>
      <c r="E44" s="16"/>
      <c r="F44" s="108"/>
      <c r="G44" s="109">
        <v>34.5</v>
      </c>
      <c r="H44" s="110"/>
      <c r="I44" s="70" t="s">
        <v>150</v>
      </c>
      <c r="J44" s="76" t="s">
        <v>142</v>
      </c>
      <c r="K44" s="56" t="s">
        <v>149</v>
      </c>
    </row>
    <row r="45" spans="1:12" s="3" customFormat="1" ht="16.25" customHeight="1" x14ac:dyDescent="0.2">
      <c r="A45" s="48"/>
      <c r="B45" s="192"/>
      <c r="C45" s="5"/>
      <c r="D45" s="36"/>
      <c r="E45" s="16"/>
      <c r="F45" s="108"/>
      <c r="G45" s="111"/>
      <c r="H45" s="110"/>
      <c r="I45" s="70" t="s">
        <v>159</v>
      </c>
      <c r="J45" s="76" t="s">
        <v>161</v>
      </c>
      <c r="K45" s="56" t="s">
        <v>160</v>
      </c>
    </row>
    <row r="46" spans="1:12" s="3" customFormat="1" ht="16.25" customHeight="1" x14ac:dyDescent="0.2">
      <c r="A46" s="48"/>
      <c r="B46" s="192"/>
      <c r="C46" s="5"/>
      <c r="D46" s="36"/>
      <c r="E46" s="16"/>
      <c r="F46" s="108"/>
      <c r="G46" s="111"/>
      <c r="H46" s="110"/>
      <c r="I46" s="70" t="s">
        <v>162</v>
      </c>
      <c r="J46" s="76" t="s">
        <v>141</v>
      </c>
      <c r="K46" s="56" t="s">
        <v>160</v>
      </c>
    </row>
    <row r="47" spans="1:12" s="3" customFormat="1" ht="16.25" customHeight="1" x14ac:dyDescent="0.2">
      <c r="A47" s="48"/>
      <c r="B47" s="192"/>
      <c r="C47" s="5"/>
      <c r="D47" s="36"/>
      <c r="E47" s="16"/>
      <c r="F47" s="108"/>
      <c r="G47" s="111"/>
      <c r="H47" s="110"/>
      <c r="I47" s="70" t="s">
        <v>163</v>
      </c>
      <c r="J47" s="76" t="s">
        <v>141</v>
      </c>
      <c r="K47" s="56" t="s">
        <v>160</v>
      </c>
    </row>
    <row r="48" spans="1:12" s="3" customFormat="1" ht="16.25" customHeight="1" x14ac:dyDescent="0.2">
      <c r="A48" s="48"/>
      <c r="B48" s="192"/>
      <c r="C48" s="5"/>
      <c r="D48" s="36"/>
      <c r="E48" s="16"/>
      <c r="F48" s="108"/>
      <c r="G48" s="63">
        <v>0.28000000000000003</v>
      </c>
      <c r="H48" s="110"/>
      <c r="I48" s="70" t="s">
        <v>164</v>
      </c>
      <c r="J48" s="76" t="s">
        <v>141</v>
      </c>
      <c r="K48" s="56" t="s">
        <v>160</v>
      </c>
    </row>
    <row r="49" spans="1:11" s="3" customFormat="1" ht="16.25" customHeight="1" x14ac:dyDescent="0.2">
      <c r="A49" s="48"/>
      <c r="B49" s="192"/>
      <c r="C49" s="5"/>
      <c r="D49" s="36"/>
      <c r="E49" s="16"/>
      <c r="F49" s="108"/>
      <c r="G49" s="63">
        <v>0.34</v>
      </c>
      <c r="H49" s="110"/>
      <c r="I49" s="70" t="s">
        <v>165</v>
      </c>
      <c r="J49" s="76" t="s">
        <v>141</v>
      </c>
      <c r="K49" s="56" t="s">
        <v>160</v>
      </c>
    </row>
    <row r="50" spans="1:11" s="3" customFormat="1" ht="16.25" customHeight="1" x14ac:dyDescent="0.2">
      <c r="A50" s="48"/>
      <c r="B50" s="192"/>
      <c r="C50" s="5"/>
      <c r="D50" s="36"/>
      <c r="E50" s="16"/>
      <c r="F50" s="108"/>
      <c r="G50" s="63">
        <v>0.21</v>
      </c>
      <c r="H50" s="110"/>
      <c r="I50" s="70" t="s">
        <v>166</v>
      </c>
      <c r="J50" s="76" t="s">
        <v>141</v>
      </c>
      <c r="K50" s="56" t="s">
        <v>160</v>
      </c>
    </row>
    <row r="51" spans="1:11" s="3" customFormat="1" ht="16.25" customHeight="1" x14ac:dyDescent="0.2">
      <c r="A51" s="48"/>
      <c r="B51" s="192"/>
      <c r="C51" s="5"/>
      <c r="D51" s="36"/>
      <c r="E51" s="16"/>
      <c r="F51" s="108"/>
      <c r="G51" s="63">
        <v>0.21</v>
      </c>
      <c r="H51" s="110"/>
      <c r="I51" s="70" t="s">
        <v>167</v>
      </c>
      <c r="J51" s="76" t="s">
        <v>141</v>
      </c>
      <c r="K51" s="56" t="s">
        <v>160</v>
      </c>
    </row>
    <row r="52" spans="1:11" s="3" customFormat="1" ht="16.25" customHeight="1" x14ac:dyDescent="0.2">
      <c r="A52" s="48"/>
      <c r="B52" s="192"/>
      <c r="C52" s="5"/>
      <c r="D52" s="36"/>
      <c r="E52" s="16"/>
      <c r="F52" s="101">
        <v>0.01</v>
      </c>
      <c r="G52" s="102">
        <v>4.1000000000000002E-2</v>
      </c>
      <c r="H52" s="103">
        <v>2.5000000000000001E-2</v>
      </c>
      <c r="I52" s="168" t="s">
        <v>171</v>
      </c>
      <c r="J52" s="76" t="s">
        <v>175</v>
      </c>
      <c r="K52" s="56" t="s">
        <v>169</v>
      </c>
    </row>
    <row r="53" spans="1:11" s="3" customFormat="1" ht="16.25" customHeight="1" x14ac:dyDescent="0.2">
      <c r="A53" s="48"/>
      <c r="B53" s="192"/>
      <c r="C53" s="5"/>
      <c r="D53" s="36"/>
      <c r="E53" s="16"/>
      <c r="F53" s="113">
        <v>5.0000000000000001E-3</v>
      </c>
      <c r="G53" s="109">
        <v>2.2000000000000002</v>
      </c>
      <c r="H53" s="103">
        <v>0.46</v>
      </c>
      <c r="I53" s="168" t="s">
        <v>170</v>
      </c>
      <c r="J53" s="76" t="s">
        <v>175</v>
      </c>
      <c r="K53" s="56" t="s">
        <v>169</v>
      </c>
    </row>
    <row r="54" spans="1:11" s="3" customFormat="1" ht="16.25" customHeight="1" x14ac:dyDescent="0.2">
      <c r="A54" s="48"/>
      <c r="B54" s="192"/>
      <c r="C54" s="5"/>
      <c r="D54" s="36"/>
      <c r="E54" s="16"/>
      <c r="F54" s="101">
        <v>0.26</v>
      </c>
      <c r="G54" s="102"/>
      <c r="H54" s="103"/>
      <c r="I54" s="168" t="s">
        <v>172</v>
      </c>
      <c r="J54" s="76" t="s">
        <v>174</v>
      </c>
      <c r="K54" s="56" t="s">
        <v>169</v>
      </c>
    </row>
    <row r="55" spans="1:11" s="3" customFormat="1" ht="16.25" customHeight="1" x14ac:dyDescent="0.2">
      <c r="A55" s="48"/>
      <c r="B55" s="192"/>
      <c r="C55" s="5"/>
      <c r="D55" s="36"/>
      <c r="E55" s="16"/>
      <c r="F55" s="119">
        <v>0.49</v>
      </c>
      <c r="G55" s="112">
        <v>54</v>
      </c>
      <c r="H55" s="114">
        <v>27</v>
      </c>
      <c r="I55" s="168" t="s">
        <v>173</v>
      </c>
      <c r="J55" s="76" t="s">
        <v>174</v>
      </c>
      <c r="K55" s="56" t="s">
        <v>169</v>
      </c>
    </row>
    <row r="56" spans="1:11" s="3" customFormat="1" ht="16.25" customHeight="1" x14ac:dyDescent="0.2">
      <c r="A56" s="48"/>
      <c r="B56" s="192"/>
      <c r="C56" s="5"/>
      <c r="D56" s="36"/>
      <c r="E56" s="16"/>
      <c r="F56" s="112">
        <v>1</v>
      </c>
      <c r="G56" s="112">
        <v>2</v>
      </c>
      <c r="H56" s="112">
        <v>1</v>
      </c>
      <c r="I56" s="168" t="s">
        <v>176</v>
      </c>
      <c r="J56" s="76" t="s">
        <v>175</v>
      </c>
      <c r="K56" s="56" t="s">
        <v>169</v>
      </c>
    </row>
    <row r="57" spans="1:11" s="3" customFormat="1" ht="16.25" customHeight="1" x14ac:dyDescent="0.2">
      <c r="A57" s="48"/>
      <c r="B57" s="192"/>
      <c r="C57" s="5"/>
      <c r="D57" s="36"/>
      <c r="E57" s="16"/>
      <c r="F57" s="119">
        <v>0.31</v>
      </c>
      <c r="G57" s="119">
        <v>0.31</v>
      </c>
      <c r="H57" s="120"/>
      <c r="I57" s="70" t="s">
        <v>178</v>
      </c>
      <c r="J57" s="76" t="s">
        <v>181</v>
      </c>
      <c r="K57" s="56" t="s">
        <v>169</v>
      </c>
    </row>
    <row r="58" spans="1:11" s="3" customFormat="1" ht="16.25" customHeight="1" x14ac:dyDescent="0.2">
      <c r="A58" s="49"/>
      <c r="B58" s="193"/>
      <c r="C58" s="72"/>
      <c r="D58" s="38"/>
      <c r="E58" s="20"/>
      <c r="F58" s="115"/>
      <c r="G58" s="121"/>
      <c r="H58" s="117"/>
      <c r="I58" s="73"/>
      <c r="J58" s="77"/>
      <c r="K58" s="58"/>
    </row>
    <row r="59" spans="1:11" s="3" customFormat="1" ht="16.25" customHeight="1" x14ac:dyDescent="0.2">
      <c r="A59" s="48" t="s">
        <v>38</v>
      </c>
      <c r="B59" s="191" t="s">
        <v>39</v>
      </c>
      <c r="C59" s="71">
        <v>214</v>
      </c>
      <c r="D59" s="36" t="s">
        <v>96</v>
      </c>
      <c r="E59" s="33"/>
      <c r="F59" s="30">
        <v>2.66</v>
      </c>
      <c r="G59" s="67">
        <v>3.33</v>
      </c>
      <c r="H59" s="107"/>
      <c r="I59" s="69" t="s">
        <v>145</v>
      </c>
      <c r="J59" s="75" t="s">
        <v>141</v>
      </c>
      <c r="K59" s="57" t="s">
        <v>122</v>
      </c>
    </row>
    <row r="60" spans="1:11" s="3" customFormat="1" ht="16.25" customHeight="1" x14ac:dyDescent="0.2">
      <c r="A60" s="48"/>
      <c r="B60" s="192"/>
      <c r="C60" s="5"/>
      <c r="D60" s="36"/>
      <c r="E60" s="16"/>
      <c r="F60" s="24">
        <v>7.26</v>
      </c>
      <c r="G60" s="93">
        <v>122</v>
      </c>
      <c r="H60" s="110"/>
      <c r="I60" s="70" t="s">
        <v>145</v>
      </c>
      <c r="J60" s="91" t="s">
        <v>141</v>
      </c>
      <c r="K60" s="56" t="s">
        <v>149</v>
      </c>
    </row>
    <row r="61" spans="1:11" s="3" customFormat="1" ht="16.25" customHeight="1" x14ac:dyDescent="0.2">
      <c r="A61" s="48"/>
      <c r="B61" s="192"/>
      <c r="C61" s="5"/>
      <c r="D61" s="36"/>
      <c r="E61" s="16"/>
      <c r="F61" s="24"/>
      <c r="G61" s="68">
        <v>0.86</v>
      </c>
      <c r="H61" s="110"/>
      <c r="I61" s="70" t="s">
        <v>148</v>
      </c>
      <c r="J61" s="76" t="s">
        <v>142</v>
      </c>
      <c r="K61" s="56" t="s">
        <v>122</v>
      </c>
    </row>
    <row r="62" spans="1:11" s="3" customFormat="1" ht="16.25" customHeight="1" x14ac:dyDescent="0.2">
      <c r="A62" s="48"/>
      <c r="B62" s="192"/>
      <c r="C62" s="5"/>
      <c r="D62" s="36"/>
      <c r="E62" s="16"/>
      <c r="F62" s="119"/>
      <c r="G62" s="111">
        <v>0.86</v>
      </c>
      <c r="H62" s="110"/>
      <c r="I62" s="70" t="s">
        <v>148</v>
      </c>
      <c r="J62" s="76" t="s">
        <v>142</v>
      </c>
      <c r="K62" s="56" t="s">
        <v>151</v>
      </c>
    </row>
    <row r="63" spans="1:11" s="3" customFormat="1" ht="16.25" customHeight="1" x14ac:dyDescent="0.2">
      <c r="A63" s="48"/>
      <c r="B63" s="192"/>
      <c r="C63" s="5"/>
      <c r="D63" s="36"/>
      <c r="E63" s="16"/>
      <c r="F63" s="119"/>
      <c r="G63" s="111">
        <v>3.79</v>
      </c>
      <c r="H63" s="110"/>
      <c r="I63" s="70" t="s">
        <v>148</v>
      </c>
      <c r="J63" s="76" t="s">
        <v>152</v>
      </c>
      <c r="K63" s="56" t="s">
        <v>151</v>
      </c>
    </row>
    <row r="64" spans="1:11" s="3" customFormat="1" ht="16.25" customHeight="1" x14ac:dyDescent="0.2">
      <c r="A64" s="48"/>
      <c r="B64" s="192"/>
      <c r="C64" s="5"/>
      <c r="D64" s="36"/>
      <c r="E64" s="16"/>
      <c r="F64" s="119"/>
      <c r="G64" s="111">
        <v>1.88</v>
      </c>
      <c r="H64" s="110"/>
      <c r="I64" s="70" t="s">
        <v>148</v>
      </c>
      <c r="J64" s="76" t="s">
        <v>153</v>
      </c>
      <c r="K64" s="56" t="s">
        <v>151</v>
      </c>
    </row>
    <row r="65" spans="1:11" s="3" customFormat="1" ht="16.25" customHeight="1" x14ac:dyDescent="0.2">
      <c r="A65" s="48"/>
      <c r="B65" s="192"/>
      <c r="C65" s="5"/>
      <c r="D65" s="36"/>
      <c r="E65" s="16"/>
      <c r="F65" s="119"/>
      <c r="G65" s="111">
        <v>0.18</v>
      </c>
      <c r="H65" s="110"/>
      <c r="I65" s="70" t="s">
        <v>154</v>
      </c>
      <c r="J65" s="76" t="s">
        <v>142</v>
      </c>
      <c r="K65" s="56" t="s">
        <v>151</v>
      </c>
    </row>
    <row r="66" spans="1:11" s="3" customFormat="1" ht="16.25" customHeight="1" x14ac:dyDescent="0.2">
      <c r="A66" s="48"/>
      <c r="B66" s="192"/>
      <c r="C66" s="5"/>
      <c r="D66" s="36"/>
      <c r="E66" s="16"/>
      <c r="F66" s="119"/>
      <c r="G66" s="111">
        <v>1.25</v>
      </c>
      <c r="H66" s="110"/>
      <c r="I66" s="70" t="s">
        <v>154</v>
      </c>
      <c r="J66" s="76" t="s">
        <v>152</v>
      </c>
      <c r="K66" s="56" t="s">
        <v>151</v>
      </c>
    </row>
    <row r="67" spans="1:11" s="3" customFormat="1" ht="16.25" customHeight="1" x14ac:dyDescent="0.2">
      <c r="A67" s="48"/>
      <c r="B67" s="192"/>
      <c r="C67" s="5"/>
      <c r="D67" s="36"/>
      <c r="E67" s="16"/>
      <c r="F67" s="119"/>
      <c r="G67" s="111">
        <v>1.55</v>
      </c>
      <c r="H67" s="110"/>
      <c r="I67" s="70" t="s">
        <v>154</v>
      </c>
      <c r="J67" s="76" t="s">
        <v>153</v>
      </c>
      <c r="K67" s="56" t="s">
        <v>151</v>
      </c>
    </row>
    <row r="68" spans="1:11" s="3" customFormat="1" ht="16.25" customHeight="1" x14ac:dyDescent="0.2">
      <c r="A68" s="48"/>
      <c r="B68" s="192"/>
      <c r="C68" s="5"/>
      <c r="D68" s="36"/>
      <c r="E68" s="16"/>
      <c r="F68" s="119"/>
      <c r="G68" s="111">
        <v>5.5</v>
      </c>
      <c r="H68" s="110"/>
      <c r="I68" s="70" t="s">
        <v>155</v>
      </c>
      <c r="J68" s="76" t="s">
        <v>152</v>
      </c>
      <c r="K68" s="56" t="s">
        <v>151</v>
      </c>
    </row>
    <row r="69" spans="1:11" s="3" customFormat="1" ht="16.25" customHeight="1" x14ac:dyDescent="0.2">
      <c r="A69" s="48"/>
      <c r="B69" s="192"/>
      <c r="C69" s="5"/>
      <c r="D69" s="36"/>
      <c r="E69" s="16"/>
      <c r="F69" s="119"/>
      <c r="G69" s="111">
        <v>0.8</v>
      </c>
      <c r="H69" s="110"/>
      <c r="I69" s="70" t="s">
        <v>155</v>
      </c>
      <c r="J69" s="76" t="s">
        <v>153</v>
      </c>
      <c r="K69" s="56" t="s">
        <v>151</v>
      </c>
    </row>
    <row r="70" spans="1:11" s="3" customFormat="1" ht="16.25" customHeight="1" x14ac:dyDescent="0.2">
      <c r="A70" s="48"/>
      <c r="B70" s="192"/>
      <c r="C70" s="5"/>
      <c r="D70" s="36"/>
      <c r="E70" s="16"/>
      <c r="F70" s="119"/>
      <c r="G70" s="111">
        <v>2.5099999999999998</v>
      </c>
      <c r="H70" s="110"/>
      <c r="I70" s="70" t="s">
        <v>156</v>
      </c>
      <c r="J70" s="76" t="s">
        <v>152</v>
      </c>
      <c r="K70" s="56" t="s">
        <v>151</v>
      </c>
    </row>
    <row r="71" spans="1:11" s="3" customFormat="1" ht="16.25" customHeight="1" x14ac:dyDescent="0.2">
      <c r="A71" s="48"/>
      <c r="B71" s="192"/>
      <c r="C71" s="5"/>
      <c r="D71" s="36"/>
      <c r="E71" s="16"/>
      <c r="F71" s="119"/>
      <c r="G71" s="111">
        <v>2.96</v>
      </c>
      <c r="H71" s="110"/>
      <c r="I71" s="70" t="s">
        <v>156</v>
      </c>
      <c r="J71" s="76" t="s">
        <v>153</v>
      </c>
      <c r="K71" s="56" t="s">
        <v>151</v>
      </c>
    </row>
    <row r="72" spans="1:11" s="3" customFormat="1" ht="16.25" customHeight="1" x14ac:dyDescent="0.2">
      <c r="A72" s="48"/>
      <c r="B72" s="192"/>
      <c r="C72" s="5"/>
      <c r="D72" s="36"/>
      <c r="E72" s="16"/>
      <c r="F72" s="119"/>
      <c r="G72" s="80">
        <v>4.5</v>
      </c>
      <c r="H72" s="110"/>
      <c r="I72" s="70" t="s">
        <v>159</v>
      </c>
      <c r="J72" s="76" t="s">
        <v>161</v>
      </c>
      <c r="K72" s="56" t="s">
        <v>160</v>
      </c>
    </row>
    <row r="73" spans="1:11" s="3" customFormat="1" ht="16.25" customHeight="1" x14ac:dyDescent="0.2">
      <c r="A73" s="48"/>
      <c r="B73" s="192"/>
      <c r="C73" s="5"/>
      <c r="D73" s="36"/>
      <c r="E73" s="16"/>
      <c r="F73" s="119"/>
      <c r="G73" s="63">
        <v>0.64</v>
      </c>
      <c r="H73" s="110"/>
      <c r="I73" s="70" t="s">
        <v>162</v>
      </c>
      <c r="J73" s="76" t="s">
        <v>141</v>
      </c>
      <c r="K73" s="56" t="s">
        <v>160</v>
      </c>
    </row>
    <row r="74" spans="1:11" s="3" customFormat="1" ht="16.25" customHeight="1" x14ac:dyDescent="0.2">
      <c r="A74" s="48"/>
      <c r="B74" s="192"/>
      <c r="C74" s="5"/>
      <c r="D74" s="36"/>
      <c r="E74" s="16"/>
      <c r="F74" s="119"/>
      <c r="G74" s="63">
        <v>1.3</v>
      </c>
      <c r="H74" s="110"/>
      <c r="I74" s="70" t="s">
        <v>163</v>
      </c>
      <c r="J74" s="76" t="s">
        <v>141</v>
      </c>
      <c r="K74" s="56" t="s">
        <v>160</v>
      </c>
    </row>
    <row r="75" spans="1:11" s="3" customFormat="1" ht="16.25" customHeight="1" x14ac:dyDescent="0.2">
      <c r="A75" s="48"/>
      <c r="B75" s="192"/>
      <c r="C75" s="5"/>
      <c r="D75" s="36"/>
      <c r="E75" s="16"/>
      <c r="F75" s="119"/>
      <c r="G75" s="63">
        <v>0.28999999999999998</v>
      </c>
      <c r="H75" s="110"/>
      <c r="I75" s="70" t="s">
        <v>164</v>
      </c>
      <c r="J75" s="76" t="s">
        <v>141</v>
      </c>
      <c r="K75" s="56" t="s">
        <v>160</v>
      </c>
    </row>
    <row r="76" spans="1:11" s="3" customFormat="1" ht="16.25" customHeight="1" x14ac:dyDescent="0.2">
      <c r="A76" s="48"/>
      <c r="B76" s="192"/>
      <c r="C76" s="5"/>
      <c r="D76" s="36"/>
      <c r="E76" s="16"/>
      <c r="F76" s="119"/>
      <c r="G76" s="63">
        <v>1.3</v>
      </c>
      <c r="H76" s="110"/>
      <c r="I76" s="70" t="s">
        <v>165</v>
      </c>
      <c r="J76" s="76" t="s">
        <v>141</v>
      </c>
      <c r="K76" s="56" t="s">
        <v>160</v>
      </c>
    </row>
    <row r="77" spans="1:11" s="3" customFormat="1" ht="16.25" customHeight="1" x14ac:dyDescent="0.2">
      <c r="A77" s="48"/>
      <c r="B77" s="192"/>
      <c r="C77" s="5"/>
      <c r="D77" s="36"/>
      <c r="E77" s="16"/>
      <c r="F77" s="119"/>
      <c r="G77" s="63">
        <v>0.67</v>
      </c>
      <c r="H77" s="110"/>
      <c r="I77" s="70" t="s">
        <v>166</v>
      </c>
      <c r="J77" s="76" t="s">
        <v>141</v>
      </c>
      <c r="K77" s="56" t="s">
        <v>160</v>
      </c>
    </row>
    <row r="78" spans="1:11" s="3" customFormat="1" ht="16.25" customHeight="1" x14ac:dyDescent="0.2">
      <c r="A78" s="48"/>
      <c r="B78" s="192"/>
      <c r="C78" s="5"/>
      <c r="D78" s="36"/>
      <c r="E78" s="16"/>
      <c r="F78" s="119"/>
      <c r="G78" s="63">
        <v>0.71</v>
      </c>
      <c r="H78" s="110"/>
      <c r="I78" s="70" t="s">
        <v>167</v>
      </c>
      <c r="J78" s="76" t="s">
        <v>141</v>
      </c>
      <c r="K78" s="56" t="s">
        <v>160</v>
      </c>
    </row>
    <row r="79" spans="1:11" s="3" customFormat="1" ht="16.25" customHeight="1" x14ac:dyDescent="0.2">
      <c r="A79" s="48"/>
      <c r="B79" s="192"/>
      <c r="C79" s="5"/>
      <c r="D79" s="36"/>
      <c r="E79" s="16"/>
      <c r="F79" s="101">
        <v>2.1000000000000001E-2</v>
      </c>
      <c r="G79" s="102">
        <v>7.1999999999999995E-2</v>
      </c>
      <c r="H79" s="103">
        <v>4.8000000000000001E-2</v>
      </c>
      <c r="I79" s="70" t="s">
        <v>171</v>
      </c>
      <c r="J79" s="76" t="s">
        <v>175</v>
      </c>
      <c r="K79" s="56" t="s">
        <v>169</v>
      </c>
    </row>
    <row r="80" spans="1:11" s="3" customFormat="1" ht="16.25" customHeight="1" x14ac:dyDescent="0.2">
      <c r="A80" s="48"/>
      <c r="B80" s="192"/>
      <c r="C80" s="5"/>
      <c r="D80" s="36"/>
      <c r="E80" s="16"/>
      <c r="F80" s="113">
        <v>5.1999999999999998E-3</v>
      </c>
      <c r="G80" s="109">
        <v>3.5</v>
      </c>
      <c r="H80" s="110">
        <v>2.2999999999999998</v>
      </c>
      <c r="I80" s="70" t="s">
        <v>170</v>
      </c>
      <c r="J80" s="76" t="s">
        <v>175</v>
      </c>
      <c r="K80" s="56" t="s">
        <v>169</v>
      </c>
    </row>
    <row r="81" spans="1:11" s="3" customFormat="1" ht="16.25" customHeight="1" x14ac:dyDescent="0.2">
      <c r="A81" s="48"/>
      <c r="B81" s="192"/>
      <c r="C81" s="5"/>
      <c r="D81" s="36"/>
      <c r="E81" s="16"/>
      <c r="F81" s="101">
        <v>2.3E-2</v>
      </c>
      <c r="G81" s="102">
        <v>2.4E-2</v>
      </c>
      <c r="H81" s="103">
        <v>2.3E-2</v>
      </c>
      <c r="I81" s="70" t="s">
        <v>172</v>
      </c>
      <c r="J81" s="76" t="s">
        <v>174</v>
      </c>
      <c r="K81" s="56" t="s">
        <v>169</v>
      </c>
    </row>
    <row r="82" spans="1:11" s="3" customFormat="1" ht="16.25" customHeight="1" x14ac:dyDescent="0.2">
      <c r="A82" s="48"/>
      <c r="B82" s="192"/>
      <c r="C82" s="5"/>
      <c r="D82" s="36"/>
      <c r="E82" s="16"/>
      <c r="F82" s="119">
        <v>0.16</v>
      </c>
      <c r="G82" s="123">
        <v>6.7</v>
      </c>
      <c r="H82" s="110">
        <v>4.4000000000000004</v>
      </c>
      <c r="I82" s="70" t="s">
        <v>173</v>
      </c>
      <c r="J82" s="76" t="s">
        <v>174</v>
      </c>
      <c r="K82" s="56" t="s">
        <v>169</v>
      </c>
    </row>
    <row r="83" spans="1:11" s="3" customFormat="1" ht="16.25" customHeight="1" x14ac:dyDescent="0.2">
      <c r="A83" s="48"/>
      <c r="B83" s="192"/>
      <c r="C83" s="5"/>
      <c r="D83" s="36"/>
      <c r="E83" s="16"/>
      <c r="F83" s="119">
        <v>0.23</v>
      </c>
      <c r="G83" s="111">
        <v>0.34</v>
      </c>
      <c r="H83" s="111">
        <v>0.28000000000000003</v>
      </c>
      <c r="I83" s="70" t="s">
        <v>176</v>
      </c>
      <c r="J83" s="76" t="s">
        <v>175</v>
      </c>
      <c r="K83" s="56" t="s">
        <v>169</v>
      </c>
    </row>
    <row r="84" spans="1:11" s="3" customFormat="1" ht="16.25" customHeight="1" x14ac:dyDescent="0.2">
      <c r="A84" s="48"/>
      <c r="B84" s="192"/>
      <c r="C84" s="5"/>
      <c r="D84" s="36"/>
      <c r="E84" s="16"/>
      <c r="F84" s="119">
        <v>0.15</v>
      </c>
      <c r="G84" s="112">
        <v>98</v>
      </c>
      <c r="H84" s="114">
        <v>33</v>
      </c>
      <c r="I84" s="70" t="s">
        <v>177</v>
      </c>
      <c r="J84" s="76" t="s">
        <v>175</v>
      </c>
      <c r="K84" s="56" t="s">
        <v>169</v>
      </c>
    </row>
    <row r="85" spans="1:11" s="3" customFormat="1" ht="16.25" customHeight="1" x14ac:dyDescent="0.2">
      <c r="A85" s="48"/>
      <c r="B85" s="192"/>
      <c r="C85" s="5"/>
      <c r="D85" s="36"/>
      <c r="E85" s="16"/>
      <c r="F85" s="119">
        <v>0.12</v>
      </c>
      <c r="G85" s="119">
        <v>0.12</v>
      </c>
      <c r="H85" s="120"/>
      <c r="I85" s="70" t="s">
        <v>178</v>
      </c>
      <c r="J85" s="76" t="s">
        <v>181</v>
      </c>
      <c r="K85" s="56" t="s">
        <v>169</v>
      </c>
    </row>
    <row r="86" spans="1:11" s="3" customFormat="1" ht="16.25" customHeight="1" x14ac:dyDescent="0.2">
      <c r="A86" s="48"/>
      <c r="B86" s="192"/>
      <c r="C86" s="5"/>
      <c r="D86" s="36"/>
      <c r="E86" s="16"/>
      <c r="F86" s="112">
        <v>175</v>
      </c>
      <c r="G86" s="112">
        <v>175</v>
      </c>
      <c r="H86" s="103"/>
      <c r="I86" s="70" t="s">
        <v>179</v>
      </c>
      <c r="J86" s="76" t="s">
        <v>181</v>
      </c>
      <c r="K86" s="56" t="s">
        <v>169</v>
      </c>
    </row>
    <row r="87" spans="1:11" s="3" customFormat="1" ht="16.25" customHeight="1" x14ac:dyDescent="0.2">
      <c r="A87" s="49"/>
      <c r="B87" s="193"/>
      <c r="C87" s="72"/>
      <c r="D87" s="38"/>
      <c r="E87" s="20"/>
      <c r="F87" s="115"/>
      <c r="G87" s="124"/>
      <c r="H87" s="117"/>
      <c r="I87" s="73"/>
      <c r="J87" s="77"/>
      <c r="K87" s="58"/>
    </row>
    <row r="88" spans="1:11" s="3" customFormat="1" ht="16.25" customHeight="1" x14ac:dyDescent="0.2">
      <c r="A88" s="188" t="s">
        <v>40</v>
      </c>
      <c r="B88" s="212" t="s">
        <v>41</v>
      </c>
      <c r="C88" s="29">
        <v>414.1</v>
      </c>
      <c r="D88" s="37" t="s">
        <v>97</v>
      </c>
      <c r="E88" s="33" t="s">
        <v>10</v>
      </c>
      <c r="F88" s="30">
        <v>1.34</v>
      </c>
      <c r="G88" s="64">
        <v>2.52</v>
      </c>
      <c r="H88" s="126"/>
      <c r="I88" s="69" t="s">
        <v>145</v>
      </c>
      <c r="J88" s="75" t="s">
        <v>141</v>
      </c>
      <c r="K88" s="57" t="s">
        <v>122</v>
      </c>
    </row>
    <row r="89" spans="1:11" s="3" customFormat="1" ht="16.25" customHeight="1" x14ac:dyDescent="0.2">
      <c r="A89" s="189"/>
      <c r="B89" s="213"/>
      <c r="C89" s="6"/>
      <c r="D89" s="36"/>
      <c r="E89" s="16"/>
      <c r="F89" s="24"/>
      <c r="G89" s="63"/>
      <c r="H89" s="128"/>
      <c r="I89" s="70" t="s">
        <v>145</v>
      </c>
      <c r="J89" s="91" t="s">
        <v>141</v>
      </c>
      <c r="K89" s="56" t="s">
        <v>149</v>
      </c>
    </row>
    <row r="90" spans="1:11" s="3" customFormat="1" ht="16.25" customHeight="1" x14ac:dyDescent="0.2">
      <c r="A90" s="189"/>
      <c r="B90" s="213"/>
      <c r="C90" s="6"/>
      <c r="D90" s="36"/>
      <c r="E90" s="16"/>
      <c r="F90" s="23"/>
      <c r="G90" s="63">
        <v>0.11</v>
      </c>
      <c r="H90" s="114"/>
      <c r="I90" s="70" t="s">
        <v>124</v>
      </c>
      <c r="J90" s="76" t="s">
        <v>142</v>
      </c>
      <c r="K90" s="56" t="s">
        <v>122</v>
      </c>
    </row>
    <row r="91" spans="1:11" s="3" customFormat="1" ht="16.25" customHeight="1" x14ac:dyDescent="0.2">
      <c r="A91" s="189"/>
      <c r="B91" s="213"/>
      <c r="C91" s="6"/>
      <c r="D91" s="36"/>
      <c r="E91" s="16"/>
      <c r="F91" s="129"/>
      <c r="G91" s="111">
        <v>0.11</v>
      </c>
      <c r="H91" s="114"/>
      <c r="I91" s="70" t="s">
        <v>148</v>
      </c>
      <c r="J91" s="76" t="s">
        <v>142</v>
      </c>
      <c r="K91" s="56" t="s">
        <v>151</v>
      </c>
    </row>
    <row r="92" spans="1:11" s="3" customFormat="1" ht="16.25" customHeight="1" x14ac:dyDescent="0.2">
      <c r="A92" s="189"/>
      <c r="B92" s="213"/>
      <c r="C92" s="6"/>
      <c r="D92" s="36"/>
      <c r="E92" s="16"/>
      <c r="F92" s="129"/>
      <c r="G92" s="111">
        <v>2.42</v>
      </c>
      <c r="H92" s="114"/>
      <c r="I92" s="70" t="s">
        <v>148</v>
      </c>
      <c r="J92" s="76" t="s">
        <v>152</v>
      </c>
      <c r="K92" s="56" t="s">
        <v>151</v>
      </c>
    </row>
    <row r="93" spans="1:11" s="3" customFormat="1" ht="16.25" customHeight="1" x14ac:dyDescent="0.2">
      <c r="A93" s="189"/>
      <c r="B93" s="213"/>
      <c r="C93" s="6"/>
      <c r="D93" s="36"/>
      <c r="E93" s="16"/>
      <c r="F93" s="129"/>
      <c r="G93" s="111">
        <v>0.96</v>
      </c>
      <c r="H93" s="114"/>
      <c r="I93" s="70" t="s">
        <v>148</v>
      </c>
      <c r="J93" s="76" t="s">
        <v>153</v>
      </c>
      <c r="K93" s="56" t="s">
        <v>151</v>
      </c>
    </row>
    <row r="94" spans="1:11" s="3" customFormat="1" ht="16.25" customHeight="1" x14ac:dyDescent="0.2">
      <c r="A94" s="189"/>
      <c r="B94" s="213"/>
      <c r="C94" s="6"/>
      <c r="D94" s="36"/>
      <c r="E94" s="16"/>
      <c r="F94" s="129"/>
      <c r="G94" s="111">
        <v>0.03</v>
      </c>
      <c r="H94" s="114"/>
      <c r="I94" s="70" t="s">
        <v>154</v>
      </c>
      <c r="J94" s="76" t="s">
        <v>142</v>
      </c>
      <c r="K94" s="56" t="s">
        <v>151</v>
      </c>
    </row>
    <row r="95" spans="1:11" s="3" customFormat="1" ht="16.25" customHeight="1" x14ac:dyDescent="0.2">
      <c r="A95" s="189"/>
      <c r="B95" s="213"/>
      <c r="C95" s="6"/>
      <c r="D95" s="36"/>
      <c r="E95" s="16"/>
      <c r="F95" s="129"/>
      <c r="G95" s="111">
        <v>0.52</v>
      </c>
      <c r="H95" s="114"/>
      <c r="I95" s="70" t="s">
        <v>154</v>
      </c>
      <c r="J95" s="76" t="s">
        <v>152</v>
      </c>
      <c r="K95" s="56" t="s">
        <v>151</v>
      </c>
    </row>
    <row r="96" spans="1:11" s="3" customFormat="1" ht="16.25" customHeight="1" x14ac:dyDescent="0.2">
      <c r="A96" s="189"/>
      <c r="B96" s="213"/>
      <c r="C96" s="6"/>
      <c r="D96" s="36"/>
      <c r="E96" s="16"/>
      <c r="F96" s="129"/>
      <c r="G96" s="111">
        <v>0.79</v>
      </c>
      <c r="H96" s="114"/>
      <c r="I96" s="70" t="s">
        <v>154</v>
      </c>
      <c r="J96" s="76" t="s">
        <v>153</v>
      </c>
      <c r="K96" s="56" t="s">
        <v>151</v>
      </c>
    </row>
    <row r="97" spans="1:11" s="3" customFormat="1" ht="16.25" customHeight="1" x14ac:dyDescent="0.2">
      <c r="A97" s="189"/>
      <c r="B97" s="213"/>
      <c r="C97" s="6"/>
      <c r="D97" s="36"/>
      <c r="E97" s="16"/>
      <c r="F97" s="129"/>
      <c r="G97" s="111">
        <v>7.6</v>
      </c>
      <c r="H97" s="114"/>
      <c r="I97" s="70" t="s">
        <v>155</v>
      </c>
      <c r="J97" s="76" t="s">
        <v>152</v>
      </c>
      <c r="K97" s="56" t="s">
        <v>151</v>
      </c>
    </row>
    <row r="98" spans="1:11" s="3" customFormat="1" ht="16.25" customHeight="1" x14ac:dyDescent="0.2">
      <c r="A98" s="189"/>
      <c r="B98" s="213"/>
      <c r="C98" s="6"/>
      <c r="D98" s="36"/>
      <c r="E98" s="16"/>
      <c r="F98" s="129"/>
      <c r="G98" s="111">
        <v>0.85</v>
      </c>
      <c r="H98" s="114"/>
      <c r="I98" s="70" t="s">
        <v>155</v>
      </c>
      <c r="J98" s="76" t="s">
        <v>153</v>
      </c>
      <c r="K98" s="56" t="s">
        <v>151</v>
      </c>
    </row>
    <row r="99" spans="1:11" s="3" customFormat="1" ht="16.25" customHeight="1" x14ac:dyDescent="0.2">
      <c r="A99" s="189"/>
      <c r="B99" s="213"/>
      <c r="C99" s="6"/>
      <c r="D99" s="36"/>
      <c r="E99" s="16"/>
      <c r="F99" s="129"/>
      <c r="G99" s="111">
        <v>0.71</v>
      </c>
      <c r="H99" s="114"/>
      <c r="I99" s="70" t="s">
        <v>156</v>
      </c>
      <c r="J99" s="76" t="s">
        <v>152</v>
      </c>
      <c r="K99" s="56" t="s">
        <v>151</v>
      </c>
    </row>
    <row r="100" spans="1:11" s="3" customFormat="1" ht="16.25" customHeight="1" x14ac:dyDescent="0.2">
      <c r="A100" s="189"/>
      <c r="B100" s="213"/>
      <c r="C100" s="6"/>
      <c r="D100" s="36"/>
      <c r="E100" s="16"/>
      <c r="F100" s="129"/>
      <c r="G100" s="111">
        <v>1.42</v>
      </c>
      <c r="H100" s="114"/>
      <c r="I100" s="70" t="s">
        <v>156</v>
      </c>
      <c r="J100" s="76" t="s">
        <v>153</v>
      </c>
      <c r="K100" s="56" t="s">
        <v>151</v>
      </c>
    </row>
    <row r="101" spans="1:11" s="3" customFormat="1" ht="16.25" customHeight="1" x14ac:dyDescent="0.2">
      <c r="A101" s="189"/>
      <c r="B101" s="213"/>
      <c r="C101" s="6"/>
      <c r="D101" s="36"/>
      <c r="E101" s="16"/>
      <c r="F101" s="129"/>
      <c r="G101" s="130">
        <v>6.7</v>
      </c>
      <c r="H101" s="131"/>
      <c r="I101" s="79" t="s">
        <v>125</v>
      </c>
      <c r="J101" s="76" t="s">
        <v>143</v>
      </c>
      <c r="K101" s="56" t="s">
        <v>126</v>
      </c>
    </row>
    <row r="102" spans="1:11" s="3" customFormat="1" ht="16.25" customHeight="1" x14ac:dyDescent="0.2">
      <c r="A102" s="189"/>
      <c r="B102" s="213"/>
      <c r="C102" s="6"/>
      <c r="D102" s="36"/>
      <c r="E102" s="16"/>
      <c r="F102" s="129"/>
      <c r="G102" s="123">
        <v>5.2</v>
      </c>
      <c r="H102" s="132"/>
      <c r="I102" s="79" t="s">
        <v>127</v>
      </c>
      <c r="J102" s="76" t="s">
        <v>143</v>
      </c>
      <c r="K102" s="56" t="s">
        <v>126</v>
      </c>
    </row>
    <row r="103" spans="1:11" s="3" customFormat="1" ht="16.25" customHeight="1" x14ac:dyDescent="0.2">
      <c r="A103" s="189"/>
      <c r="B103" s="213"/>
      <c r="C103" s="6"/>
      <c r="D103" s="36"/>
      <c r="E103" s="16"/>
      <c r="F103" s="129"/>
      <c r="G103" s="130">
        <v>4.5999999999999996</v>
      </c>
      <c r="H103" s="132"/>
      <c r="I103" s="79" t="s">
        <v>128</v>
      </c>
      <c r="J103" s="76" t="s">
        <v>143</v>
      </c>
      <c r="K103" s="56" t="s">
        <v>126</v>
      </c>
    </row>
    <row r="104" spans="1:11" s="3" customFormat="1" ht="16.25" customHeight="1" x14ac:dyDescent="0.2">
      <c r="A104" s="189"/>
      <c r="B104" s="213"/>
      <c r="C104" s="6"/>
      <c r="D104" s="36"/>
      <c r="E104" s="16"/>
      <c r="F104" s="129"/>
      <c r="G104" s="133">
        <v>4.8</v>
      </c>
      <c r="H104" s="132"/>
      <c r="I104" s="79" t="s">
        <v>129</v>
      </c>
      <c r="J104" s="76" t="s">
        <v>143</v>
      </c>
      <c r="K104" s="56" t="s">
        <v>126</v>
      </c>
    </row>
    <row r="105" spans="1:11" s="3" customFormat="1" ht="16.25" customHeight="1" x14ac:dyDescent="0.2">
      <c r="A105" s="189"/>
      <c r="B105" s="213"/>
      <c r="C105" s="6"/>
      <c r="D105" s="36"/>
      <c r="E105" s="16"/>
      <c r="F105" s="129"/>
      <c r="G105" s="133">
        <v>14</v>
      </c>
      <c r="H105" s="132"/>
      <c r="I105" s="79" t="s">
        <v>130</v>
      </c>
      <c r="J105" s="76" t="s">
        <v>143</v>
      </c>
      <c r="K105" s="56" t="s">
        <v>126</v>
      </c>
    </row>
    <row r="106" spans="1:11" s="3" customFormat="1" ht="16.25" customHeight="1" x14ac:dyDescent="0.2">
      <c r="A106" s="189"/>
      <c r="B106" s="213"/>
      <c r="C106" s="6"/>
      <c r="D106" s="36"/>
      <c r="E106" s="16"/>
      <c r="F106" s="129"/>
      <c r="G106" s="133">
        <v>18.399999999999999</v>
      </c>
      <c r="H106" s="132"/>
      <c r="I106" s="79" t="s">
        <v>131</v>
      </c>
      <c r="J106" s="76" t="s">
        <v>143</v>
      </c>
      <c r="K106" s="56" t="s">
        <v>126</v>
      </c>
    </row>
    <row r="107" spans="1:11" s="3" customFormat="1" ht="16.25" customHeight="1" x14ac:dyDescent="0.2">
      <c r="A107" s="189"/>
      <c r="B107" s="213"/>
      <c r="C107" s="6"/>
      <c r="D107" s="36"/>
      <c r="E107" s="16"/>
      <c r="F107" s="129"/>
      <c r="G107" s="133">
        <v>14.4</v>
      </c>
      <c r="H107" s="132"/>
      <c r="I107" s="79" t="s">
        <v>132</v>
      </c>
      <c r="J107" s="76" t="s">
        <v>143</v>
      </c>
      <c r="K107" s="45" t="s">
        <v>126</v>
      </c>
    </row>
    <row r="108" spans="1:11" s="3" customFormat="1" ht="16.25" customHeight="1" x14ac:dyDescent="0.2">
      <c r="A108" s="189"/>
      <c r="B108" s="213"/>
      <c r="C108" s="6"/>
      <c r="D108" s="36"/>
      <c r="E108" s="16"/>
      <c r="F108" s="129"/>
      <c r="G108" s="133">
        <v>12.8</v>
      </c>
      <c r="H108" s="132"/>
      <c r="I108" s="79" t="s">
        <v>133</v>
      </c>
      <c r="J108" s="76" t="s">
        <v>143</v>
      </c>
      <c r="K108" s="45" t="s">
        <v>126</v>
      </c>
    </row>
    <row r="109" spans="1:11" s="3" customFormat="1" ht="16.25" customHeight="1" x14ac:dyDescent="0.2">
      <c r="A109" s="189"/>
      <c r="B109" s="213"/>
      <c r="C109" s="6"/>
      <c r="D109" s="36"/>
      <c r="E109" s="16"/>
      <c r="F109" s="129"/>
      <c r="G109" s="133">
        <v>11.9</v>
      </c>
      <c r="H109" s="132"/>
      <c r="I109" s="79" t="s">
        <v>134</v>
      </c>
      <c r="J109" s="76" t="s">
        <v>143</v>
      </c>
      <c r="K109" s="45" t="s">
        <v>126</v>
      </c>
    </row>
    <row r="110" spans="1:11" s="3" customFormat="1" ht="16.25" customHeight="1" x14ac:dyDescent="0.2">
      <c r="A110" s="189"/>
      <c r="B110" s="213"/>
      <c r="C110" s="6"/>
      <c r="D110" s="36"/>
      <c r="E110" s="16"/>
      <c r="F110" s="129"/>
      <c r="G110" s="133">
        <v>11.1</v>
      </c>
      <c r="H110" s="132"/>
      <c r="I110" s="79" t="s">
        <v>135</v>
      </c>
      <c r="J110" s="76" t="s">
        <v>143</v>
      </c>
      <c r="K110" s="45" t="s">
        <v>126</v>
      </c>
    </row>
    <row r="111" spans="1:11" s="3" customFormat="1" ht="16.25" customHeight="1" x14ac:dyDescent="0.2">
      <c r="A111" s="189"/>
      <c r="B111" s="213"/>
      <c r="C111" s="6"/>
      <c r="D111" s="36"/>
      <c r="E111" s="16"/>
      <c r="F111" s="101">
        <v>1.4E-2</v>
      </c>
      <c r="G111" s="102">
        <v>4.9000000000000002E-2</v>
      </c>
      <c r="H111" s="103">
        <v>3.1E-2</v>
      </c>
      <c r="I111" s="70" t="s">
        <v>171</v>
      </c>
      <c r="J111" s="76" t="s">
        <v>175</v>
      </c>
      <c r="K111" s="56" t="s">
        <v>169</v>
      </c>
    </row>
    <row r="112" spans="1:11" s="3" customFormat="1" ht="16.25" customHeight="1" x14ac:dyDescent="0.2">
      <c r="A112" s="189"/>
      <c r="B112" s="213"/>
      <c r="C112" s="6"/>
      <c r="D112" s="36"/>
      <c r="E112" s="16"/>
      <c r="F112" s="113">
        <v>7.0000000000000001E-3</v>
      </c>
      <c r="G112" s="109">
        <v>5.0999999999999996</v>
      </c>
      <c r="H112" s="110">
        <v>1.2</v>
      </c>
      <c r="I112" s="70" t="s">
        <v>170</v>
      </c>
      <c r="J112" s="76" t="s">
        <v>175</v>
      </c>
      <c r="K112" s="56" t="s">
        <v>169</v>
      </c>
    </row>
    <row r="113" spans="1:11" s="3" customFormat="1" ht="16.25" customHeight="1" x14ac:dyDescent="0.2">
      <c r="A113" s="189"/>
      <c r="B113" s="213"/>
      <c r="C113" s="6"/>
      <c r="D113" s="36"/>
      <c r="E113" s="16"/>
      <c r="F113" s="101">
        <v>1.6E-2</v>
      </c>
      <c r="G113" s="102">
        <v>0.1</v>
      </c>
      <c r="H113" s="103">
        <v>4.7E-2</v>
      </c>
      <c r="I113" s="70" t="s">
        <v>172</v>
      </c>
      <c r="J113" s="76" t="s">
        <v>174</v>
      </c>
      <c r="K113" s="56" t="s">
        <v>169</v>
      </c>
    </row>
    <row r="114" spans="1:11" s="3" customFormat="1" ht="16.25" customHeight="1" x14ac:dyDescent="0.2">
      <c r="A114" s="189"/>
      <c r="B114" s="213"/>
      <c r="C114" s="6"/>
      <c r="D114" s="36"/>
      <c r="E114" s="16"/>
      <c r="F114" s="119">
        <v>1.5</v>
      </c>
      <c r="G114" s="112">
        <v>41</v>
      </c>
      <c r="H114" s="114">
        <v>18</v>
      </c>
      <c r="I114" s="70" t="s">
        <v>173</v>
      </c>
      <c r="J114" s="76" t="s">
        <v>174</v>
      </c>
      <c r="K114" s="56" t="s">
        <v>169</v>
      </c>
    </row>
    <row r="115" spans="1:11" s="3" customFormat="1" ht="16.25" customHeight="1" x14ac:dyDescent="0.2">
      <c r="A115" s="189"/>
      <c r="B115" s="213"/>
      <c r="C115" s="6"/>
      <c r="D115" s="36"/>
      <c r="E115" s="16"/>
      <c r="F115" s="119">
        <v>0.2</v>
      </c>
      <c r="G115" s="111">
        <v>0.28000000000000003</v>
      </c>
      <c r="H115" s="111">
        <v>0.25</v>
      </c>
      <c r="I115" s="70" t="s">
        <v>176</v>
      </c>
      <c r="J115" s="76" t="s">
        <v>175</v>
      </c>
      <c r="K115" s="56" t="s">
        <v>169</v>
      </c>
    </row>
    <row r="116" spans="1:11" s="3" customFormat="1" ht="16.25" customHeight="1" x14ac:dyDescent="0.2">
      <c r="A116" s="189"/>
      <c r="B116" s="213"/>
      <c r="C116" s="6"/>
      <c r="D116" s="36"/>
      <c r="E116" s="16"/>
      <c r="F116" s="112">
        <v>26</v>
      </c>
      <c r="G116" s="112">
        <v>26</v>
      </c>
      <c r="H116" s="103"/>
      <c r="I116" s="70" t="s">
        <v>179</v>
      </c>
      <c r="J116" s="76" t="s">
        <v>181</v>
      </c>
      <c r="K116" s="56" t="s">
        <v>169</v>
      </c>
    </row>
    <row r="117" spans="1:11" s="3" customFormat="1" ht="16.25" customHeight="1" x14ac:dyDescent="0.2">
      <c r="A117" s="189"/>
      <c r="B117" s="213"/>
      <c r="C117" s="6"/>
      <c r="D117" s="36"/>
      <c r="E117" s="16"/>
      <c r="F117" s="129"/>
      <c r="G117" s="134"/>
      <c r="H117" s="132"/>
      <c r="I117" s="43"/>
      <c r="J117" s="58"/>
      <c r="K117" s="58"/>
    </row>
    <row r="118" spans="1:11" s="3" customFormat="1" ht="16.25" customHeight="1" x14ac:dyDescent="0.2">
      <c r="A118" s="165" t="s">
        <v>42</v>
      </c>
      <c r="B118" s="191" t="s">
        <v>43</v>
      </c>
      <c r="C118" s="71">
        <v>214</v>
      </c>
      <c r="D118" s="78" t="s">
        <v>98</v>
      </c>
      <c r="E118" s="33"/>
      <c r="F118" s="30">
        <v>0.77</v>
      </c>
      <c r="G118" s="67">
        <v>2.85</v>
      </c>
      <c r="H118" s="107"/>
      <c r="I118" s="69" t="s">
        <v>145</v>
      </c>
      <c r="J118" s="75" t="s">
        <v>141</v>
      </c>
      <c r="K118" s="57" t="s">
        <v>122</v>
      </c>
    </row>
    <row r="119" spans="1:11" s="3" customFormat="1" ht="16.25" customHeight="1" x14ac:dyDescent="0.2">
      <c r="A119" s="166"/>
      <c r="B119" s="192"/>
      <c r="C119" s="5"/>
      <c r="D119" s="76"/>
      <c r="E119" s="16"/>
      <c r="F119" s="24">
        <v>0.93799999999999994</v>
      </c>
      <c r="G119" s="68">
        <v>11.5</v>
      </c>
      <c r="H119" s="110"/>
      <c r="I119" s="70" t="s">
        <v>145</v>
      </c>
      <c r="J119" s="91" t="s">
        <v>141</v>
      </c>
      <c r="K119" s="56" t="s">
        <v>149</v>
      </c>
    </row>
    <row r="120" spans="1:11" s="3" customFormat="1" ht="16.25" customHeight="1" x14ac:dyDescent="0.2">
      <c r="A120" s="166"/>
      <c r="B120" s="192"/>
      <c r="C120" s="5"/>
      <c r="D120" s="76"/>
      <c r="E120" s="16"/>
      <c r="F120" s="119"/>
      <c r="G120" s="111">
        <v>2.35</v>
      </c>
      <c r="H120" s="110"/>
      <c r="I120" s="70" t="s">
        <v>148</v>
      </c>
      <c r="J120" s="76" t="s">
        <v>152</v>
      </c>
      <c r="K120" s="56" t="s">
        <v>151</v>
      </c>
    </row>
    <row r="121" spans="1:11" s="3" customFormat="1" ht="16.25" customHeight="1" x14ac:dyDescent="0.2">
      <c r="A121" s="166"/>
      <c r="B121" s="192"/>
      <c r="C121" s="5"/>
      <c r="D121" s="76"/>
      <c r="E121" s="16"/>
      <c r="F121" s="119"/>
      <c r="G121" s="111">
        <v>1.92</v>
      </c>
      <c r="H121" s="110"/>
      <c r="I121" s="70" t="s">
        <v>148</v>
      </c>
      <c r="J121" s="76" t="s">
        <v>153</v>
      </c>
      <c r="K121" s="56" t="s">
        <v>151</v>
      </c>
    </row>
    <row r="122" spans="1:11" s="3" customFormat="1" ht="16.25" customHeight="1" x14ac:dyDescent="0.2">
      <c r="A122" s="166"/>
      <c r="B122" s="192"/>
      <c r="C122" s="5"/>
      <c r="D122" s="76"/>
      <c r="E122" s="16"/>
      <c r="F122" s="119"/>
      <c r="G122" s="111">
        <v>7.0000000000000007E-2</v>
      </c>
      <c r="H122" s="110"/>
      <c r="I122" s="70" t="s">
        <v>154</v>
      </c>
      <c r="J122" s="76" t="s">
        <v>142</v>
      </c>
      <c r="K122" s="56" t="s">
        <v>151</v>
      </c>
    </row>
    <row r="123" spans="1:11" s="3" customFormat="1" ht="16.25" customHeight="1" x14ac:dyDescent="0.2">
      <c r="A123" s="166"/>
      <c r="B123" s="192"/>
      <c r="C123" s="5"/>
      <c r="D123" s="76"/>
      <c r="E123" s="16"/>
      <c r="F123" s="119"/>
      <c r="G123" s="111">
        <v>0.44</v>
      </c>
      <c r="H123" s="110"/>
      <c r="I123" s="70" t="s">
        <v>154</v>
      </c>
      <c r="J123" s="76" t="s">
        <v>152</v>
      </c>
      <c r="K123" s="56" t="s">
        <v>151</v>
      </c>
    </row>
    <row r="124" spans="1:11" s="3" customFormat="1" ht="16.25" customHeight="1" x14ac:dyDescent="0.2">
      <c r="A124" s="166"/>
      <c r="B124" s="192"/>
      <c r="C124" s="5"/>
      <c r="D124" s="76"/>
      <c r="E124" s="16"/>
      <c r="F124" s="119"/>
      <c r="G124" s="111">
        <v>1.71</v>
      </c>
      <c r="H124" s="110"/>
      <c r="I124" s="70" t="s">
        <v>154</v>
      </c>
      <c r="J124" s="76" t="s">
        <v>153</v>
      </c>
      <c r="K124" s="56" t="s">
        <v>151</v>
      </c>
    </row>
    <row r="125" spans="1:11" s="3" customFormat="1" ht="16.25" customHeight="1" x14ac:dyDescent="0.2">
      <c r="A125" s="166"/>
      <c r="B125" s="192"/>
      <c r="C125" s="5"/>
      <c r="D125" s="76"/>
      <c r="E125" s="16"/>
      <c r="F125" s="119"/>
      <c r="G125" s="111">
        <v>5.31</v>
      </c>
      <c r="H125" s="110"/>
      <c r="I125" s="70" t="s">
        <v>155</v>
      </c>
      <c r="J125" s="76" t="s">
        <v>152</v>
      </c>
      <c r="K125" s="56" t="s">
        <v>151</v>
      </c>
    </row>
    <row r="126" spans="1:11" s="3" customFormat="1" ht="16.25" customHeight="1" x14ac:dyDescent="0.2">
      <c r="A126" s="166"/>
      <c r="B126" s="192"/>
      <c r="C126" s="5"/>
      <c r="D126" s="76"/>
      <c r="E126" s="16"/>
      <c r="F126" s="119"/>
      <c r="G126" s="111">
        <v>1.32</v>
      </c>
      <c r="H126" s="110"/>
      <c r="I126" s="70" t="s">
        <v>155</v>
      </c>
      <c r="J126" s="76" t="s">
        <v>153</v>
      </c>
      <c r="K126" s="56" t="s">
        <v>151</v>
      </c>
    </row>
    <row r="127" spans="1:11" s="3" customFormat="1" ht="16.25" customHeight="1" x14ac:dyDescent="0.2">
      <c r="A127" s="166"/>
      <c r="B127" s="192"/>
      <c r="C127" s="5"/>
      <c r="D127" s="76"/>
      <c r="E127" s="16"/>
      <c r="F127" s="119"/>
      <c r="G127" s="111">
        <v>0.69</v>
      </c>
      <c r="H127" s="110"/>
      <c r="I127" s="70" t="s">
        <v>156</v>
      </c>
      <c r="J127" s="76" t="s">
        <v>152</v>
      </c>
      <c r="K127" s="56" t="s">
        <v>151</v>
      </c>
    </row>
    <row r="128" spans="1:11" s="3" customFormat="1" ht="16.25" customHeight="1" x14ac:dyDescent="0.2">
      <c r="A128" s="166"/>
      <c r="B128" s="192"/>
      <c r="C128" s="5"/>
      <c r="D128" s="76"/>
      <c r="E128" s="16"/>
      <c r="F128" s="119"/>
      <c r="G128" s="111">
        <v>1.9</v>
      </c>
      <c r="H128" s="110"/>
      <c r="I128" s="70" t="s">
        <v>156</v>
      </c>
      <c r="J128" s="76" t="s">
        <v>153</v>
      </c>
      <c r="K128" s="56" t="s">
        <v>151</v>
      </c>
    </row>
    <row r="129" spans="1:11" s="3" customFormat="1" ht="16.25" customHeight="1" x14ac:dyDescent="0.2">
      <c r="A129" s="166"/>
      <c r="B129" s="192"/>
      <c r="C129" s="5"/>
      <c r="D129" s="76"/>
      <c r="E129" s="16"/>
      <c r="F129" s="119"/>
      <c r="G129" s="80">
        <v>0.9</v>
      </c>
      <c r="H129" s="110"/>
      <c r="I129" s="70" t="s">
        <v>159</v>
      </c>
      <c r="J129" s="76" t="s">
        <v>161</v>
      </c>
      <c r="K129" s="56" t="s">
        <v>160</v>
      </c>
    </row>
    <row r="130" spans="1:11" s="3" customFormat="1" ht="16.25" customHeight="1" x14ac:dyDescent="0.2">
      <c r="A130" s="166"/>
      <c r="B130" s="192"/>
      <c r="C130" s="5"/>
      <c r="D130" s="76"/>
      <c r="E130" s="16"/>
      <c r="F130" s="119"/>
      <c r="G130" s="80">
        <v>0.9</v>
      </c>
      <c r="H130" s="110"/>
      <c r="I130" s="70" t="s">
        <v>162</v>
      </c>
      <c r="J130" s="76" t="s">
        <v>141</v>
      </c>
      <c r="K130" s="56" t="s">
        <v>160</v>
      </c>
    </row>
    <row r="131" spans="1:11" s="3" customFormat="1" ht="16.25" customHeight="1" x14ac:dyDescent="0.2">
      <c r="A131" s="166"/>
      <c r="B131" s="192"/>
      <c r="C131" s="5"/>
      <c r="D131" s="76"/>
      <c r="E131" s="16"/>
      <c r="F131" s="119"/>
      <c r="G131" s="63">
        <v>0.62</v>
      </c>
      <c r="H131" s="110"/>
      <c r="I131" s="70" t="s">
        <v>163</v>
      </c>
      <c r="J131" s="76" t="s">
        <v>141</v>
      </c>
      <c r="K131" s="56" t="s">
        <v>160</v>
      </c>
    </row>
    <row r="132" spans="1:11" s="3" customFormat="1" ht="16.25" customHeight="1" x14ac:dyDescent="0.2">
      <c r="A132" s="166"/>
      <c r="B132" s="192"/>
      <c r="C132" s="5"/>
      <c r="D132" s="76"/>
      <c r="E132" s="16"/>
      <c r="F132" s="119"/>
      <c r="G132" s="63">
        <v>0.89</v>
      </c>
      <c r="H132" s="110"/>
      <c r="I132" s="70" t="s">
        <v>164</v>
      </c>
      <c r="J132" s="76" t="s">
        <v>141</v>
      </c>
      <c r="K132" s="56" t="s">
        <v>160</v>
      </c>
    </row>
    <row r="133" spans="1:11" s="3" customFormat="1" ht="16.25" customHeight="1" x14ac:dyDescent="0.2">
      <c r="A133" s="166"/>
      <c r="B133" s="192"/>
      <c r="C133" s="5"/>
      <c r="D133" s="76"/>
      <c r="E133" s="16"/>
      <c r="F133" s="119"/>
      <c r="G133" s="62">
        <v>1</v>
      </c>
      <c r="H133" s="110"/>
      <c r="I133" s="70" t="s">
        <v>165</v>
      </c>
      <c r="J133" s="76" t="s">
        <v>141</v>
      </c>
      <c r="K133" s="56" t="s">
        <v>160</v>
      </c>
    </row>
    <row r="134" spans="1:11" s="3" customFormat="1" ht="16.25" customHeight="1" x14ac:dyDescent="0.2">
      <c r="A134" s="166"/>
      <c r="B134" s="192"/>
      <c r="C134" s="5"/>
      <c r="D134" s="76"/>
      <c r="E134" s="16"/>
      <c r="F134" s="119"/>
      <c r="G134" s="62">
        <v>1</v>
      </c>
      <c r="H134" s="110"/>
      <c r="I134" s="70" t="s">
        <v>166</v>
      </c>
      <c r="J134" s="76" t="s">
        <v>141</v>
      </c>
      <c r="K134" s="56" t="s">
        <v>160</v>
      </c>
    </row>
    <row r="135" spans="1:11" s="3" customFormat="1" ht="16.25" customHeight="1" x14ac:dyDescent="0.2">
      <c r="A135" s="166"/>
      <c r="B135" s="192"/>
      <c r="C135" s="5"/>
      <c r="D135" s="76"/>
      <c r="E135" s="16"/>
      <c r="F135" s="119"/>
      <c r="G135" s="62">
        <v>1</v>
      </c>
      <c r="H135" s="110"/>
      <c r="I135" s="70" t="s">
        <v>167</v>
      </c>
      <c r="J135" s="76" t="s">
        <v>141</v>
      </c>
      <c r="K135" s="56" t="s">
        <v>160</v>
      </c>
    </row>
    <row r="136" spans="1:11" s="3" customFormat="1" ht="16.25" customHeight="1" x14ac:dyDescent="0.2">
      <c r="A136" s="166"/>
      <c r="B136" s="192"/>
      <c r="C136" s="5"/>
      <c r="D136" s="76"/>
      <c r="E136" s="16"/>
      <c r="F136" s="101">
        <v>3.6999999999999998E-2</v>
      </c>
      <c r="G136" s="102"/>
      <c r="H136" s="103"/>
      <c r="I136" s="70" t="s">
        <v>171</v>
      </c>
      <c r="J136" s="76" t="s">
        <v>175</v>
      </c>
      <c r="K136" s="56" t="s">
        <v>169</v>
      </c>
    </row>
    <row r="137" spans="1:11" s="3" customFormat="1" ht="16.25" customHeight="1" x14ac:dyDescent="0.2">
      <c r="A137" s="166"/>
      <c r="B137" s="192"/>
      <c r="C137" s="5"/>
      <c r="D137" s="76"/>
      <c r="E137" s="16"/>
      <c r="F137" s="113">
        <v>0.12</v>
      </c>
      <c r="G137" s="112">
        <v>35</v>
      </c>
      <c r="H137" s="114">
        <v>18</v>
      </c>
      <c r="I137" s="70" t="s">
        <v>170</v>
      </c>
      <c r="J137" s="76" t="s">
        <v>175</v>
      </c>
      <c r="K137" s="56" t="s">
        <v>169</v>
      </c>
    </row>
    <row r="138" spans="1:11" s="3" customFormat="1" ht="16.25" customHeight="1" x14ac:dyDescent="0.2">
      <c r="A138" s="166"/>
      <c r="B138" s="192"/>
      <c r="C138" s="5"/>
      <c r="D138" s="76"/>
      <c r="E138" s="16"/>
      <c r="F138" s="101">
        <v>1.2E-2</v>
      </c>
      <c r="G138" s="102"/>
      <c r="H138" s="103"/>
      <c r="I138" s="70" t="s">
        <v>172</v>
      </c>
      <c r="J138" s="76" t="s">
        <v>174</v>
      </c>
      <c r="K138" s="56" t="s">
        <v>169</v>
      </c>
    </row>
    <row r="139" spans="1:11" s="3" customFormat="1" ht="16.25" customHeight="1" x14ac:dyDescent="0.2">
      <c r="A139" s="166"/>
      <c r="B139" s="192"/>
      <c r="C139" s="5"/>
      <c r="D139" s="76"/>
      <c r="E139" s="16"/>
      <c r="F139" s="110">
        <v>5.5</v>
      </c>
      <c r="G139" s="110">
        <v>5.5</v>
      </c>
      <c r="H139" s="103"/>
      <c r="I139" s="70" t="s">
        <v>173</v>
      </c>
      <c r="J139" s="76" t="s">
        <v>174</v>
      </c>
      <c r="K139" s="56" t="s">
        <v>169</v>
      </c>
    </row>
    <row r="140" spans="1:11" s="3" customFormat="1" ht="16.25" customHeight="1" x14ac:dyDescent="0.2">
      <c r="A140" s="49"/>
      <c r="B140" s="193"/>
      <c r="C140" s="72"/>
      <c r="D140" s="77"/>
      <c r="E140" s="20"/>
      <c r="F140" s="115"/>
      <c r="G140" s="124"/>
      <c r="H140" s="117"/>
      <c r="I140" s="73"/>
      <c r="J140" s="85"/>
      <c r="K140" s="58"/>
    </row>
    <row r="141" spans="1:11" s="3" customFormat="1" ht="16.25" customHeight="1" x14ac:dyDescent="0.2">
      <c r="A141" s="188" t="s">
        <v>44</v>
      </c>
      <c r="B141" s="191" t="s">
        <v>45</v>
      </c>
      <c r="C141" s="29">
        <v>514.1</v>
      </c>
      <c r="D141" s="37" t="s">
        <v>99</v>
      </c>
      <c r="E141" s="33" t="s">
        <v>11</v>
      </c>
      <c r="F141" s="30">
        <v>0.34</v>
      </c>
      <c r="G141" s="64">
        <v>0.52</v>
      </c>
      <c r="H141" s="135"/>
      <c r="I141" s="69" t="s">
        <v>145</v>
      </c>
      <c r="J141" s="75" t="s">
        <v>141</v>
      </c>
      <c r="K141" s="57" t="s">
        <v>122</v>
      </c>
    </row>
    <row r="142" spans="1:11" s="3" customFormat="1" ht="16.25" customHeight="1" x14ac:dyDescent="0.2">
      <c r="A142" s="189"/>
      <c r="B142" s="192"/>
      <c r="C142" s="6"/>
      <c r="D142" s="36"/>
      <c r="E142" s="16"/>
      <c r="F142" s="119"/>
      <c r="G142" s="111">
        <v>1.43</v>
      </c>
      <c r="H142" s="110"/>
      <c r="I142" s="70" t="s">
        <v>148</v>
      </c>
      <c r="J142" s="76" t="s">
        <v>152</v>
      </c>
      <c r="K142" s="56" t="s">
        <v>151</v>
      </c>
    </row>
    <row r="143" spans="1:11" s="3" customFormat="1" ht="16.25" customHeight="1" x14ac:dyDescent="0.2">
      <c r="A143" s="189"/>
      <c r="B143" s="192"/>
      <c r="C143" s="6"/>
      <c r="D143" s="36"/>
      <c r="E143" s="16"/>
      <c r="F143" s="119"/>
      <c r="G143" s="111">
        <v>1.85</v>
      </c>
      <c r="H143" s="110"/>
      <c r="I143" s="70" t="s">
        <v>148</v>
      </c>
      <c r="J143" s="76" t="s">
        <v>153</v>
      </c>
      <c r="K143" s="56" t="s">
        <v>151</v>
      </c>
    </row>
    <row r="144" spans="1:11" s="3" customFormat="1" ht="16.25" customHeight="1" x14ac:dyDescent="0.2">
      <c r="A144" s="189"/>
      <c r="B144" s="192"/>
      <c r="C144" s="6"/>
      <c r="D144" s="36"/>
      <c r="E144" s="16"/>
      <c r="F144" s="119"/>
      <c r="G144" s="111">
        <v>0.15</v>
      </c>
      <c r="H144" s="110"/>
      <c r="I144" s="70" t="s">
        <v>154</v>
      </c>
      <c r="J144" s="76" t="s">
        <v>152</v>
      </c>
      <c r="K144" s="56" t="s">
        <v>151</v>
      </c>
    </row>
    <row r="145" spans="1:11" s="3" customFormat="1" ht="16.25" customHeight="1" x14ac:dyDescent="0.2">
      <c r="A145" s="189"/>
      <c r="B145" s="192"/>
      <c r="C145" s="6"/>
      <c r="D145" s="36"/>
      <c r="E145" s="16"/>
      <c r="F145" s="119"/>
      <c r="G145" s="111">
        <v>1.43</v>
      </c>
      <c r="H145" s="110"/>
      <c r="I145" s="70" t="s">
        <v>154</v>
      </c>
      <c r="J145" s="76" t="s">
        <v>153</v>
      </c>
      <c r="K145" s="56" t="s">
        <v>151</v>
      </c>
    </row>
    <row r="146" spans="1:11" s="3" customFormat="1" ht="16.25" customHeight="1" x14ac:dyDescent="0.2">
      <c r="A146" s="189"/>
      <c r="B146" s="192"/>
      <c r="C146" s="6"/>
      <c r="D146" s="36"/>
      <c r="E146" s="16"/>
      <c r="F146" s="119"/>
      <c r="G146" s="111">
        <v>1.1000000000000001</v>
      </c>
      <c r="H146" s="110"/>
      <c r="I146" s="70" t="s">
        <v>155</v>
      </c>
      <c r="J146" s="76" t="s">
        <v>152</v>
      </c>
      <c r="K146" s="56" t="s">
        <v>151</v>
      </c>
    </row>
    <row r="147" spans="1:11" s="3" customFormat="1" ht="16.25" customHeight="1" x14ac:dyDescent="0.2">
      <c r="A147" s="189"/>
      <c r="B147" s="192"/>
      <c r="C147" s="6"/>
      <c r="D147" s="36"/>
      <c r="E147" s="16"/>
      <c r="F147" s="119"/>
      <c r="G147" s="111">
        <v>0.44</v>
      </c>
      <c r="H147" s="110"/>
      <c r="I147" s="70" t="s">
        <v>155</v>
      </c>
      <c r="J147" s="76" t="s">
        <v>153</v>
      </c>
      <c r="K147" s="56" t="s">
        <v>151</v>
      </c>
    </row>
    <row r="148" spans="1:11" s="3" customFormat="1" ht="16.25" customHeight="1" x14ac:dyDescent="0.2">
      <c r="A148" s="189"/>
      <c r="B148" s="192"/>
      <c r="C148" s="6"/>
      <c r="D148" s="36"/>
      <c r="E148" s="16"/>
      <c r="F148" s="119"/>
      <c r="G148" s="111">
        <v>0.32</v>
      </c>
      <c r="H148" s="110"/>
      <c r="I148" s="70" t="s">
        <v>156</v>
      </c>
      <c r="J148" s="76" t="s">
        <v>152</v>
      </c>
      <c r="K148" s="56" t="s">
        <v>151</v>
      </c>
    </row>
    <row r="149" spans="1:11" s="3" customFormat="1" ht="16.25" customHeight="1" x14ac:dyDescent="0.2">
      <c r="A149" s="189"/>
      <c r="B149" s="192"/>
      <c r="C149" s="6"/>
      <c r="D149" s="36"/>
      <c r="E149" s="16"/>
      <c r="F149" s="119"/>
      <c r="G149" s="111">
        <v>1.06</v>
      </c>
      <c r="H149" s="110"/>
      <c r="I149" s="70" t="s">
        <v>156</v>
      </c>
      <c r="J149" s="76" t="s">
        <v>153</v>
      </c>
      <c r="K149" s="56" t="s">
        <v>151</v>
      </c>
    </row>
    <row r="150" spans="1:11" s="3" customFormat="1" ht="16.25" customHeight="1" x14ac:dyDescent="0.2">
      <c r="A150" s="189"/>
      <c r="B150" s="192"/>
      <c r="C150" s="6"/>
      <c r="D150" s="36"/>
      <c r="E150" s="16"/>
      <c r="F150" s="119"/>
      <c r="G150" s="62">
        <v>2</v>
      </c>
      <c r="H150" s="110"/>
      <c r="I150" s="70" t="s">
        <v>159</v>
      </c>
      <c r="J150" s="76" t="s">
        <v>161</v>
      </c>
      <c r="K150" s="56" t="s">
        <v>160</v>
      </c>
    </row>
    <row r="151" spans="1:11" s="3" customFormat="1" ht="16.25" customHeight="1" x14ac:dyDescent="0.2">
      <c r="A151" s="189"/>
      <c r="B151" s="192"/>
      <c r="C151" s="6"/>
      <c r="D151" s="36"/>
      <c r="E151" s="16"/>
      <c r="F151" s="119"/>
      <c r="G151" s="63">
        <v>0.8</v>
      </c>
      <c r="H151" s="110"/>
      <c r="I151" s="70" t="s">
        <v>162</v>
      </c>
      <c r="J151" s="76" t="s">
        <v>141</v>
      </c>
      <c r="K151" s="56" t="s">
        <v>160</v>
      </c>
    </row>
    <row r="152" spans="1:11" s="3" customFormat="1" ht="16.25" customHeight="1" x14ac:dyDescent="0.2">
      <c r="A152" s="189"/>
      <c r="B152" s="192"/>
      <c r="C152" s="6"/>
      <c r="D152" s="36"/>
      <c r="E152" s="16"/>
      <c r="F152" s="119"/>
      <c r="G152" s="62">
        <v>2</v>
      </c>
      <c r="H152" s="110"/>
      <c r="I152" s="70" t="s">
        <v>163</v>
      </c>
      <c r="J152" s="76" t="s">
        <v>141</v>
      </c>
      <c r="K152" s="56" t="s">
        <v>160</v>
      </c>
    </row>
    <row r="153" spans="1:11" s="3" customFormat="1" ht="16.25" customHeight="1" x14ac:dyDescent="0.2">
      <c r="A153" s="189"/>
      <c r="B153" s="192"/>
      <c r="C153" s="6"/>
      <c r="D153" s="36"/>
      <c r="E153" s="16"/>
      <c r="F153" s="119"/>
      <c r="G153" s="94">
        <v>7.4999999999999997E-2</v>
      </c>
      <c r="H153" s="110"/>
      <c r="I153" s="70" t="s">
        <v>164</v>
      </c>
      <c r="J153" s="76" t="s">
        <v>141</v>
      </c>
      <c r="K153" s="56" t="s">
        <v>160</v>
      </c>
    </row>
    <row r="154" spans="1:11" s="3" customFormat="1" ht="16.25" customHeight="1" x14ac:dyDescent="0.2">
      <c r="A154" s="189"/>
      <c r="B154" s="192"/>
      <c r="C154" s="6"/>
      <c r="D154" s="36"/>
      <c r="E154" s="16"/>
      <c r="F154" s="119"/>
      <c r="G154" s="63">
        <v>0.15</v>
      </c>
      <c r="H154" s="110"/>
      <c r="I154" s="70" t="s">
        <v>165</v>
      </c>
      <c r="J154" s="76" t="s">
        <v>141</v>
      </c>
      <c r="K154" s="56" t="s">
        <v>160</v>
      </c>
    </row>
    <row r="155" spans="1:11" s="3" customFormat="1" ht="16.25" customHeight="1" x14ac:dyDescent="0.2">
      <c r="A155" s="189"/>
      <c r="B155" s="192"/>
      <c r="C155" s="6"/>
      <c r="D155" s="36"/>
      <c r="E155" s="16"/>
      <c r="F155" s="119"/>
      <c r="G155" s="63">
        <v>0.15</v>
      </c>
      <c r="H155" s="110"/>
      <c r="I155" s="70" t="s">
        <v>166</v>
      </c>
      <c r="J155" s="76" t="s">
        <v>141</v>
      </c>
      <c r="K155" s="56" t="s">
        <v>160</v>
      </c>
    </row>
    <row r="156" spans="1:11" s="3" customFormat="1" ht="16.25" customHeight="1" x14ac:dyDescent="0.2">
      <c r="A156" s="189"/>
      <c r="B156" s="192"/>
      <c r="C156" s="6"/>
      <c r="D156" s="36"/>
      <c r="E156" s="16"/>
      <c r="F156" s="119"/>
      <c r="G156" s="80">
        <v>0.3</v>
      </c>
      <c r="H156" s="110"/>
      <c r="I156" s="70" t="s">
        <v>167</v>
      </c>
      <c r="J156" s="76" t="s">
        <v>141</v>
      </c>
      <c r="K156" s="56" t="s">
        <v>160</v>
      </c>
    </row>
    <row r="157" spans="1:11" s="3" customFormat="1" ht="16.25" customHeight="1" x14ac:dyDescent="0.2">
      <c r="A157" s="189"/>
      <c r="B157" s="192"/>
      <c r="C157" s="6"/>
      <c r="D157" s="36"/>
      <c r="E157" s="16"/>
      <c r="F157" s="101">
        <v>0.12</v>
      </c>
      <c r="G157" s="102"/>
      <c r="H157" s="103"/>
      <c r="I157" s="70" t="s">
        <v>171</v>
      </c>
      <c r="J157" s="76" t="s">
        <v>175</v>
      </c>
      <c r="K157" s="56" t="s">
        <v>169</v>
      </c>
    </row>
    <row r="158" spans="1:11" s="3" customFormat="1" ht="16.25" customHeight="1" x14ac:dyDescent="0.2">
      <c r="A158" s="189"/>
      <c r="B158" s="192"/>
      <c r="C158" s="6"/>
      <c r="D158" s="36"/>
      <c r="E158" s="16"/>
      <c r="F158" s="112">
        <v>25</v>
      </c>
      <c r="G158" s="112">
        <v>25</v>
      </c>
      <c r="H158" s="114"/>
      <c r="I158" s="70" t="s">
        <v>170</v>
      </c>
      <c r="J158" s="76" t="s">
        <v>175</v>
      </c>
      <c r="K158" s="56" t="s">
        <v>169</v>
      </c>
    </row>
    <row r="159" spans="1:11" s="3" customFormat="1" ht="16.25" customHeight="1" x14ac:dyDescent="0.2">
      <c r="A159" s="189"/>
      <c r="B159" s="192"/>
      <c r="C159" s="6"/>
      <c r="D159" s="36"/>
      <c r="E159" s="16"/>
      <c r="F159" s="110">
        <v>1.9</v>
      </c>
      <c r="G159" s="110">
        <v>1.9</v>
      </c>
      <c r="H159" s="103"/>
      <c r="I159" s="70" t="s">
        <v>173</v>
      </c>
      <c r="J159" s="76" t="s">
        <v>174</v>
      </c>
      <c r="K159" s="56" t="s">
        <v>169</v>
      </c>
    </row>
    <row r="160" spans="1:11" s="3" customFormat="1" ht="16.25" customHeight="1" x14ac:dyDescent="0.2">
      <c r="A160" s="190"/>
      <c r="B160" s="193"/>
      <c r="C160" s="21"/>
      <c r="D160" s="38"/>
      <c r="E160" s="20"/>
      <c r="F160" s="136"/>
      <c r="G160" s="137"/>
      <c r="H160" s="138"/>
      <c r="I160" s="43"/>
      <c r="J160" s="58"/>
      <c r="K160" s="58"/>
    </row>
    <row r="161" spans="1:11" s="3" customFormat="1" ht="16.25" customHeight="1" x14ac:dyDescent="0.2">
      <c r="A161" s="188" t="s">
        <v>46</v>
      </c>
      <c r="B161" s="191" t="s">
        <v>47</v>
      </c>
      <c r="C161" s="29">
        <v>564.1</v>
      </c>
      <c r="D161" s="37" t="s">
        <v>100</v>
      </c>
      <c r="E161" s="33" t="s">
        <v>12</v>
      </c>
      <c r="F161" s="139"/>
      <c r="G161" s="140"/>
      <c r="H161" s="126"/>
      <c r="I161" s="44"/>
      <c r="J161" s="57"/>
      <c r="K161" s="57"/>
    </row>
    <row r="162" spans="1:11" s="3" customFormat="1" ht="16.25" customHeight="1" x14ac:dyDescent="0.2">
      <c r="A162" s="189"/>
      <c r="B162" s="192"/>
      <c r="C162" s="6"/>
      <c r="D162" s="36"/>
      <c r="E162" s="16"/>
      <c r="F162" s="141"/>
      <c r="G162" s="142"/>
      <c r="H162" s="128"/>
      <c r="I162" s="45"/>
      <c r="J162" s="56"/>
      <c r="K162" s="56"/>
    </row>
    <row r="163" spans="1:11" s="3" customFormat="1" ht="16.25" customHeight="1" x14ac:dyDescent="0.2">
      <c r="A163" s="189"/>
      <c r="B163" s="192"/>
      <c r="C163" s="6"/>
      <c r="D163" s="36"/>
      <c r="E163" s="16"/>
      <c r="F163" s="141"/>
      <c r="G163" s="142"/>
      <c r="H163" s="128"/>
      <c r="I163" s="45"/>
      <c r="J163" s="56"/>
      <c r="K163" s="56"/>
    </row>
    <row r="164" spans="1:11" s="3" customFormat="1" ht="16.25" customHeight="1" x14ac:dyDescent="0.2">
      <c r="A164" s="189"/>
      <c r="B164" s="192"/>
      <c r="C164" s="6"/>
      <c r="D164" s="36"/>
      <c r="E164" s="16"/>
      <c r="F164" s="141"/>
      <c r="G164" s="142"/>
      <c r="H164" s="128"/>
      <c r="I164" s="45"/>
      <c r="J164" s="56"/>
      <c r="K164" s="56"/>
    </row>
    <row r="165" spans="1:11" s="3" customFormat="1" ht="16.25" customHeight="1" x14ac:dyDescent="0.2">
      <c r="A165" s="188" t="s">
        <v>48</v>
      </c>
      <c r="B165" s="191" t="s">
        <v>49</v>
      </c>
      <c r="C165" s="29">
        <f>C161+50</f>
        <v>614.1</v>
      </c>
      <c r="D165" s="37" t="s">
        <v>101</v>
      </c>
      <c r="E165" s="33" t="s">
        <v>13</v>
      </c>
      <c r="F165" s="143"/>
      <c r="G165" s="140"/>
      <c r="H165" s="126"/>
      <c r="I165" s="44"/>
      <c r="J165" s="57"/>
      <c r="K165" s="57"/>
    </row>
    <row r="166" spans="1:11" s="3" customFormat="1" ht="16.25" customHeight="1" x14ac:dyDescent="0.2">
      <c r="A166" s="190"/>
      <c r="B166" s="193"/>
      <c r="C166" s="21"/>
      <c r="D166" s="38"/>
      <c r="E166" s="20"/>
      <c r="F166" s="144"/>
      <c r="G166" s="145"/>
      <c r="H166" s="146"/>
      <c r="I166" s="43"/>
      <c r="J166" s="58"/>
      <c r="K166" s="58"/>
    </row>
    <row r="167" spans="1:11" s="3" customFormat="1" ht="16.25" customHeight="1" x14ac:dyDescent="0.2">
      <c r="A167" s="196" t="s">
        <v>50</v>
      </c>
      <c r="B167" s="199" t="s">
        <v>51</v>
      </c>
      <c r="C167" s="6"/>
      <c r="D167" s="36" t="s">
        <v>102</v>
      </c>
      <c r="E167" s="16"/>
      <c r="F167" s="129"/>
      <c r="G167" s="62">
        <v>2</v>
      </c>
      <c r="H167" s="114"/>
      <c r="I167" s="70" t="s">
        <v>159</v>
      </c>
      <c r="J167" s="76" t="s">
        <v>161</v>
      </c>
      <c r="K167" s="56" t="s">
        <v>160</v>
      </c>
    </row>
    <row r="168" spans="1:11" s="3" customFormat="1" ht="16.25" customHeight="1" x14ac:dyDescent="0.2">
      <c r="A168" s="197"/>
      <c r="B168" s="200"/>
      <c r="C168" s="6"/>
      <c r="D168" s="36"/>
      <c r="E168" s="16"/>
      <c r="F168" s="129"/>
      <c r="G168" s="63">
        <v>0.75</v>
      </c>
      <c r="H168" s="114"/>
      <c r="I168" s="70" t="s">
        <v>162</v>
      </c>
      <c r="J168" s="76" t="s">
        <v>141</v>
      </c>
      <c r="K168" s="56" t="s">
        <v>160</v>
      </c>
    </row>
    <row r="169" spans="1:11" s="3" customFormat="1" ht="16.25" customHeight="1" x14ac:dyDescent="0.2">
      <c r="A169" s="197"/>
      <c r="B169" s="200"/>
      <c r="C169" s="6"/>
      <c r="D169" s="36"/>
      <c r="E169" s="16"/>
      <c r="F169" s="129"/>
      <c r="G169" s="62">
        <v>2</v>
      </c>
      <c r="H169" s="114"/>
      <c r="I169" s="70" t="s">
        <v>163</v>
      </c>
      <c r="J169" s="76" t="s">
        <v>141</v>
      </c>
      <c r="K169" s="56" t="s">
        <v>160</v>
      </c>
    </row>
    <row r="170" spans="1:11" s="3" customFormat="1" ht="16.25" customHeight="1" x14ac:dyDescent="0.2">
      <c r="A170" s="197"/>
      <c r="B170" s="200"/>
      <c r="C170" s="6"/>
      <c r="D170" s="36"/>
      <c r="E170" s="16"/>
      <c r="F170" s="129"/>
      <c r="G170" s="63">
        <v>0.06</v>
      </c>
      <c r="H170" s="114"/>
      <c r="I170" s="70" t="s">
        <v>164</v>
      </c>
      <c r="J170" s="76" t="s">
        <v>141</v>
      </c>
      <c r="K170" s="56" t="s">
        <v>160</v>
      </c>
    </row>
    <row r="171" spans="1:11" s="3" customFormat="1" ht="16.25" customHeight="1" x14ac:dyDescent="0.2">
      <c r="A171" s="197"/>
      <c r="B171" s="200"/>
      <c r="C171" s="6"/>
      <c r="D171" s="36"/>
      <c r="E171" s="16"/>
      <c r="F171" s="129"/>
      <c r="G171" s="80">
        <v>0.1</v>
      </c>
      <c r="H171" s="114"/>
      <c r="I171" s="70" t="s">
        <v>165</v>
      </c>
      <c r="J171" s="76" t="s">
        <v>141</v>
      </c>
      <c r="K171" s="56" t="s">
        <v>160</v>
      </c>
    </row>
    <row r="172" spans="1:11" s="3" customFormat="1" ht="16.25" customHeight="1" x14ac:dyDescent="0.2">
      <c r="A172" s="197"/>
      <c r="B172" s="200"/>
      <c r="C172" s="6"/>
      <c r="D172" s="36"/>
      <c r="E172" s="16"/>
      <c r="F172" s="129"/>
      <c r="G172" s="63">
        <v>0.15</v>
      </c>
      <c r="H172" s="114"/>
      <c r="I172" s="70" t="s">
        <v>166</v>
      </c>
      <c r="J172" s="76" t="s">
        <v>141</v>
      </c>
      <c r="K172" s="56" t="s">
        <v>160</v>
      </c>
    </row>
    <row r="173" spans="1:11" s="3" customFormat="1" ht="16.25" customHeight="1" x14ac:dyDescent="0.2">
      <c r="A173" s="197"/>
      <c r="B173" s="200"/>
      <c r="C173" s="6"/>
      <c r="D173" s="36"/>
      <c r="E173" s="16"/>
      <c r="F173" s="129"/>
      <c r="G173" s="80">
        <v>0.1</v>
      </c>
      <c r="H173" s="114"/>
      <c r="I173" s="70" t="s">
        <v>167</v>
      </c>
      <c r="J173" s="76" t="s">
        <v>141</v>
      </c>
      <c r="K173" s="56" t="s">
        <v>160</v>
      </c>
    </row>
    <row r="174" spans="1:11" s="3" customFormat="1" ht="16.25" customHeight="1" x14ac:dyDescent="0.2">
      <c r="A174" s="198"/>
      <c r="B174" s="201"/>
      <c r="C174" s="6">
        <v>664.1</v>
      </c>
      <c r="D174" s="36"/>
      <c r="E174" s="16" t="s">
        <v>14</v>
      </c>
      <c r="F174" s="129"/>
      <c r="G174" s="65"/>
      <c r="H174" s="114"/>
      <c r="I174" s="43"/>
      <c r="J174" s="58"/>
      <c r="K174" s="58"/>
    </row>
    <row r="175" spans="1:11" s="3" customFormat="1" ht="16.25" customHeight="1" x14ac:dyDescent="0.2">
      <c r="A175" s="188" t="s">
        <v>52</v>
      </c>
      <c r="B175" s="191" t="s">
        <v>53</v>
      </c>
      <c r="C175" s="29">
        <v>714.1</v>
      </c>
      <c r="D175" s="37" t="s">
        <v>103</v>
      </c>
      <c r="E175" s="33" t="s">
        <v>15</v>
      </c>
      <c r="F175" s="143"/>
      <c r="G175" s="63">
        <v>0.13</v>
      </c>
      <c r="H175" s="147"/>
      <c r="I175" s="70" t="s">
        <v>159</v>
      </c>
      <c r="J175" s="76" t="s">
        <v>161</v>
      </c>
      <c r="K175" s="56" t="s">
        <v>160</v>
      </c>
    </row>
    <row r="176" spans="1:11" s="3" customFormat="1" ht="16.25" customHeight="1" x14ac:dyDescent="0.2">
      <c r="A176" s="189"/>
      <c r="B176" s="192"/>
      <c r="C176" s="6"/>
      <c r="D176" s="36"/>
      <c r="E176" s="16"/>
      <c r="F176" s="129"/>
      <c r="G176" s="62">
        <v>11</v>
      </c>
      <c r="H176" s="114"/>
      <c r="I176" s="70" t="s">
        <v>162</v>
      </c>
      <c r="J176" s="76" t="s">
        <v>141</v>
      </c>
      <c r="K176" s="56" t="s">
        <v>160</v>
      </c>
    </row>
    <row r="177" spans="1:11" s="3" customFormat="1" ht="16.25" customHeight="1" x14ac:dyDescent="0.2">
      <c r="A177" s="189"/>
      <c r="B177" s="192"/>
      <c r="C177" s="6"/>
      <c r="D177" s="36"/>
      <c r="E177" s="16"/>
      <c r="F177" s="129"/>
      <c r="G177" s="62">
        <v>26</v>
      </c>
      <c r="H177" s="114"/>
      <c r="I177" s="70" t="s">
        <v>163</v>
      </c>
      <c r="J177" s="76" t="s">
        <v>141</v>
      </c>
      <c r="K177" s="56" t="s">
        <v>160</v>
      </c>
    </row>
    <row r="178" spans="1:11" s="3" customFormat="1" ht="16.25" customHeight="1" x14ac:dyDescent="0.2">
      <c r="A178" s="189"/>
      <c r="B178" s="192"/>
      <c r="C178" s="6"/>
      <c r="D178" s="36"/>
      <c r="E178" s="16"/>
      <c r="F178" s="129"/>
      <c r="G178" s="62">
        <v>16</v>
      </c>
      <c r="H178" s="114"/>
      <c r="I178" s="70" t="s">
        <v>164</v>
      </c>
      <c r="J178" s="76" t="s">
        <v>141</v>
      </c>
      <c r="K178" s="56" t="s">
        <v>160</v>
      </c>
    </row>
    <row r="179" spans="1:11" s="3" customFormat="1" ht="16.25" customHeight="1" x14ac:dyDescent="0.2">
      <c r="A179" s="189"/>
      <c r="B179" s="192"/>
      <c r="C179" s="6"/>
      <c r="D179" s="36"/>
      <c r="E179" s="16"/>
      <c r="F179" s="129"/>
      <c r="G179" s="80">
        <v>0.5</v>
      </c>
      <c r="H179" s="114"/>
      <c r="I179" s="70" t="s">
        <v>165</v>
      </c>
      <c r="J179" s="76" t="s">
        <v>141</v>
      </c>
      <c r="K179" s="56" t="s">
        <v>160</v>
      </c>
    </row>
    <row r="180" spans="1:11" s="3" customFormat="1" ht="16.25" customHeight="1" x14ac:dyDescent="0.2">
      <c r="A180" s="189"/>
      <c r="B180" s="192"/>
      <c r="C180" s="6"/>
      <c r="D180" s="36"/>
      <c r="E180" s="16"/>
      <c r="F180" s="129"/>
      <c r="G180" s="62">
        <v>1</v>
      </c>
      <c r="H180" s="114"/>
      <c r="I180" s="70" t="s">
        <v>166</v>
      </c>
      <c r="J180" s="76" t="s">
        <v>141</v>
      </c>
      <c r="K180" s="56" t="s">
        <v>160</v>
      </c>
    </row>
    <row r="181" spans="1:11" s="3" customFormat="1" ht="16.25" customHeight="1" x14ac:dyDescent="0.2">
      <c r="A181" s="189"/>
      <c r="B181" s="192"/>
      <c r="C181" s="6"/>
      <c r="D181" s="36"/>
      <c r="E181" s="16"/>
      <c r="F181" s="129"/>
      <c r="G181" s="63">
        <v>0.75</v>
      </c>
      <c r="H181" s="114"/>
      <c r="I181" s="70" t="s">
        <v>167</v>
      </c>
      <c r="J181" s="76" t="s">
        <v>141</v>
      </c>
      <c r="K181" s="56" t="s">
        <v>160</v>
      </c>
    </row>
    <row r="182" spans="1:11" s="3" customFormat="1" ht="16.25" customHeight="1" x14ac:dyDescent="0.2">
      <c r="A182" s="190"/>
      <c r="B182" s="193"/>
      <c r="C182" s="21"/>
      <c r="D182" s="38"/>
      <c r="E182" s="20"/>
      <c r="F182" s="144"/>
      <c r="G182" s="145"/>
      <c r="H182" s="146"/>
      <c r="I182" s="43"/>
      <c r="J182" s="58"/>
      <c r="K182" s="58"/>
    </row>
    <row r="183" spans="1:11" s="3" customFormat="1" ht="16.25" customHeight="1" x14ac:dyDescent="0.2">
      <c r="A183" s="167" t="s">
        <v>0</v>
      </c>
      <c r="B183" s="81"/>
      <c r="C183" s="82"/>
      <c r="D183" s="83"/>
      <c r="E183" s="17"/>
      <c r="F183" s="17"/>
      <c r="G183" s="17"/>
      <c r="H183" s="17"/>
      <c r="I183" s="46"/>
      <c r="J183" s="59"/>
      <c r="K183" s="59"/>
    </row>
    <row r="184" spans="1:11" s="3" customFormat="1" ht="16.25" customHeight="1" x14ac:dyDescent="0.2">
      <c r="A184" s="166" t="s">
        <v>54</v>
      </c>
      <c r="B184" s="192" t="s">
        <v>55</v>
      </c>
      <c r="C184" s="5">
        <v>214</v>
      </c>
      <c r="D184" s="36" t="s">
        <v>104</v>
      </c>
      <c r="E184" s="33"/>
      <c r="F184" s="30">
        <v>4.22</v>
      </c>
      <c r="G184" s="67">
        <v>14.5</v>
      </c>
      <c r="H184" s="107"/>
      <c r="I184" s="69" t="s">
        <v>145</v>
      </c>
      <c r="J184" s="75" t="s">
        <v>141</v>
      </c>
      <c r="K184" s="57" t="s">
        <v>122</v>
      </c>
    </row>
    <row r="185" spans="1:11" s="3" customFormat="1" ht="16.25" customHeight="1" x14ac:dyDescent="0.2">
      <c r="A185" s="166"/>
      <c r="B185" s="192"/>
      <c r="C185" s="5"/>
      <c r="D185" s="36"/>
      <c r="E185" s="16"/>
      <c r="F185" s="74">
        <v>58.3</v>
      </c>
      <c r="G185" s="93">
        <v>316</v>
      </c>
      <c r="H185" s="110"/>
      <c r="I185" s="70" t="s">
        <v>145</v>
      </c>
      <c r="J185" s="91" t="s">
        <v>141</v>
      </c>
      <c r="K185" s="56" t="s">
        <v>149</v>
      </c>
    </row>
    <row r="186" spans="1:11" s="3" customFormat="1" ht="16.25" customHeight="1" x14ac:dyDescent="0.2">
      <c r="A186" s="166"/>
      <c r="B186" s="192"/>
      <c r="C186" s="5"/>
      <c r="D186" s="36"/>
      <c r="E186" s="16"/>
      <c r="F186" s="24"/>
      <c r="G186" s="68">
        <v>2.02</v>
      </c>
      <c r="H186" s="110"/>
      <c r="I186" s="70" t="s">
        <v>147</v>
      </c>
      <c r="J186" s="91" t="s">
        <v>141</v>
      </c>
      <c r="K186" s="45" t="s">
        <v>122</v>
      </c>
    </row>
    <row r="187" spans="1:11" s="3" customFormat="1" ht="16.25" customHeight="1" x14ac:dyDescent="0.2">
      <c r="A187" s="166"/>
      <c r="B187" s="192"/>
      <c r="C187" s="5"/>
      <c r="D187" s="36"/>
      <c r="E187" s="16"/>
      <c r="F187" s="24"/>
      <c r="G187" s="68">
        <v>0.42</v>
      </c>
      <c r="H187" s="110"/>
      <c r="I187" s="70" t="s">
        <v>148</v>
      </c>
      <c r="J187" s="76" t="s">
        <v>142</v>
      </c>
      <c r="K187" s="56" t="s">
        <v>122</v>
      </c>
    </row>
    <row r="188" spans="1:11" s="3" customFormat="1" ht="16.25" customHeight="1" x14ac:dyDescent="0.2">
      <c r="A188" s="166"/>
      <c r="B188" s="192"/>
      <c r="C188" s="5"/>
      <c r="D188" s="36"/>
      <c r="E188" s="16"/>
      <c r="F188" s="119"/>
      <c r="G188" s="111">
        <v>0.42</v>
      </c>
      <c r="H188" s="114"/>
      <c r="I188" s="70" t="s">
        <v>148</v>
      </c>
      <c r="J188" s="76" t="s">
        <v>142</v>
      </c>
      <c r="K188" s="56" t="s">
        <v>151</v>
      </c>
    </row>
    <row r="189" spans="1:11" s="3" customFormat="1" ht="16.25" customHeight="1" x14ac:dyDescent="0.2">
      <c r="A189" s="166"/>
      <c r="B189" s="192"/>
      <c r="C189" s="5"/>
      <c r="D189" s="36"/>
      <c r="E189" s="16"/>
      <c r="F189" s="119"/>
      <c r="G189" s="111">
        <v>3.65</v>
      </c>
      <c r="H189" s="114"/>
      <c r="I189" s="70" t="s">
        <v>148</v>
      </c>
      <c r="J189" s="76" t="s">
        <v>152</v>
      </c>
      <c r="K189" s="56" t="s">
        <v>151</v>
      </c>
    </row>
    <row r="190" spans="1:11" s="3" customFormat="1" ht="16.25" customHeight="1" x14ac:dyDescent="0.2">
      <c r="A190" s="166"/>
      <c r="B190" s="192"/>
      <c r="C190" s="5"/>
      <c r="D190" s="36"/>
      <c r="E190" s="16"/>
      <c r="F190" s="119"/>
      <c r="G190" s="111">
        <v>0.71</v>
      </c>
      <c r="H190" s="114"/>
      <c r="I190" s="70" t="s">
        <v>148</v>
      </c>
      <c r="J190" s="76" t="s">
        <v>153</v>
      </c>
      <c r="K190" s="56" t="s">
        <v>151</v>
      </c>
    </row>
    <row r="191" spans="1:11" s="3" customFormat="1" ht="16.25" customHeight="1" x14ac:dyDescent="0.2">
      <c r="A191" s="166"/>
      <c r="B191" s="192"/>
      <c r="C191" s="5"/>
      <c r="D191" s="36"/>
      <c r="E191" s="16"/>
      <c r="F191" s="119"/>
      <c r="G191" s="111">
        <v>0.33</v>
      </c>
      <c r="H191" s="114"/>
      <c r="I191" s="70" t="s">
        <v>154</v>
      </c>
      <c r="J191" s="76" t="s">
        <v>142</v>
      </c>
      <c r="K191" s="56" t="s">
        <v>151</v>
      </c>
    </row>
    <row r="192" spans="1:11" s="3" customFormat="1" ht="16.25" customHeight="1" x14ac:dyDescent="0.2">
      <c r="A192" s="166"/>
      <c r="B192" s="192"/>
      <c r="C192" s="5"/>
      <c r="D192" s="36"/>
      <c r="E192" s="16"/>
      <c r="F192" s="119"/>
      <c r="G192" s="111">
        <v>4.12</v>
      </c>
      <c r="H192" s="114"/>
      <c r="I192" s="70" t="s">
        <v>154</v>
      </c>
      <c r="J192" s="76" t="s">
        <v>152</v>
      </c>
      <c r="K192" s="56" t="s">
        <v>151</v>
      </c>
    </row>
    <row r="193" spans="1:11" s="3" customFormat="1" ht="16.25" customHeight="1" x14ac:dyDescent="0.2">
      <c r="A193" s="166"/>
      <c r="B193" s="192"/>
      <c r="C193" s="5"/>
      <c r="D193" s="36"/>
      <c r="E193" s="16"/>
      <c r="F193" s="119"/>
      <c r="G193" s="111">
        <v>0.89</v>
      </c>
      <c r="H193" s="114"/>
      <c r="I193" s="70" t="s">
        <v>154</v>
      </c>
      <c r="J193" s="76" t="s">
        <v>153</v>
      </c>
      <c r="K193" s="56" t="s">
        <v>151</v>
      </c>
    </row>
    <row r="194" spans="1:11" s="3" customFormat="1" ht="16.25" customHeight="1" x14ac:dyDescent="0.2">
      <c r="A194" s="166"/>
      <c r="B194" s="192"/>
      <c r="C194" s="5"/>
      <c r="D194" s="36"/>
      <c r="E194" s="16"/>
      <c r="F194" s="119"/>
      <c r="G194" s="111">
        <v>3.38</v>
      </c>
      <c r="H194" s="114"/>
      <c r="I194" s="70" t="s">
        <v>155</v>
      </c>
      <c r="J194" s="76" t="s">
        <v>152</v>
      </c>
      <c r="K194" s="56" t="s">
        <v>151</v>
      </c>
    </row>
    <row r="195" spans="1:11" s="3" customFormat="1" ht="16.25" customHeight="1" x14ac:dyDescent="0.2">
      <c r="A195" s="166"/>
      <c r="B195" s="192"/>
      <c r="C195" s="5"/>
      <c r="D195" s="36"/>
      <c r="E195" s="16"/>
      <c r="F195" s="119"/>
      <c r="G195" s="111">
        <v>1.27</v>
      </c>
      <c r="H195" s="114"/>
      <c r="I195" s="70" t="s">
        <v>155</v>
      </c>
      <c r="J195" s="76" t="s">
        <v>153</v>
      </c>
      <c r="K195" s="56" t="s">
        <v>151</v>
      </c>
    </row>
    <row r="196" spans="1:11" s="3" customFormat="1" ht="16.25" customHeight="1" x14ac:dyDescent="0.2">
      <c r="A196" s="166"/>
      <c r="B196" s="192"/>
      <c r="C196" s="5"/>
      <c r="D196" s="36"/>
      <c r="E196" s="16"/>
      <c r="F196" s="119"/>
      <c r="G196" s="111">
        <v>2.21</v>
      </c>
      <c r="H196" s="114"/>
      <c r="I196" s="70" t="s">
        <v>156</v>
      </c>
      <c r="J196" s="76" t="s">
        <v>152</v>
      </c>
      <c r="K196" s="56" t="s">
        <v>151</v>
      </c>
    </row>
    <row r="197" spans="1:11" s="3" customFormat="1" ht="16.25" customHeight="1" x14ac:dyDescent="0.2">
      <c r="A197" s="166"/>
      <c r="B197" s="192"/>
      <c r="C197" s="5"/>
      <c r="D197" s="36"/>
      <c r="E197" s="16"/>
      <c r="F197" s="119"/>
      <c r="G197" s="111">
        <v>2.52</v>
      </c>
      <c r="H197" s="114"/>
      <c r="I197" s="70" t="s">
        <v>156</v>
      </c>
      <c r="J197" s="76" t="s">
        <v>153</v>
      </c>
      <c r="K197" s="56" t="s">
        <v>151</v>
      </c>
    </row>
    <row r="198" spans="1:11" s="3" customFormat="1" ht="16.25" customHeight="1" x14ac:dyDescent="0.2">
      <c r="A198" s="166"/>
      <c r="B198" s="192"/>
      <c r="C198" s="5"/>
      <c r="D198" s="36"/>
      <c r="E198" s="16"/>
      <c r="F198" s="119"/>
      <c r="G198" s="62">
        <v>17</v>
      </c>
      <c r="H198" s="114"/>
      <c r="I198" s="70" t="s">
        <v>159</v>
      </c>
      <c r="J198" s="76" t="s">
        <v>161</v>
      </c>
      <c r="K198" s="56" t="s">
        <v>160</v>
      </c>
    </row>
    <row r="199" spans="1:11" s="3" customFormat="1" ht="16.25" customHeight="1" x14ac:dyDescent="0.2">
      <c r="A199" s="166"/>
      <c r="B199" s="192"/>
      <c r="C199" s="5"/>
      <c r="D199" s="36"/>
      <c r="E199" s="16"/>
      <c r="F199" s="119"/>
      <c r="G199" s="63">
        <v>0.59</v>
      </c>
      <c r="H199" s="114"/>
      <c r="I199" s="70" t="s">
        <v>162</v>
      </c>
      <c r="J199" s="76" t="s">
        <v>141</v>
      </c>
      <c r="K199" s="56" t="s">
        <v>160</v>
      </c>
    </row>
    <row r="200" spans="1:11" s="3" customFormat="1" ht="16.25" customHeight="1" x14ac:dyDescent="0.2">
      <c r="A200" s="166"/>
      <c r="B200" s="192"/>
      <c r="C200" s="5"/>
      <c r="D200" s="36"/>
      <c r="E200" s="16"/>
      <c r="F200" s="119"/>
      <c r="G200" s="63">
        <v>0.12</v>
      </c>
      <c r="H200" s="114"/>
      <c r="I200" s="70" t="s">
        <v>163</v>
      </c>
      <c r="J200" s="76" t="s">
        <v>141</v>
      </c>
      <c r="K200" s="56" t="s">
        <v>160</v>
      </c>
    </row>
    <row r="201" spans="1:11" s="3" customFormat="1" ht="16.25" customHeight="1" x14ac:dyDescent="0.2">
      <c r="A201" s="166"/>
      <c r="B201" s="192"/>
      <c r="C201" s="5"/>
      <c r="D201" s="36"/>
      <c r="E201" s="16"/>
      <c r="F201" s="119"/>
      <c r="G201" s="94">
        <v>3.7999999999999999E-2</v>
      </c>
      <c r="H201" s="114"/>
      <c r="I201" s="70" t="s">
        <v>164</v>
      </c>
      <c r="J201" s="76" t="s">
        <v>141</v>
      </c>
      <c r="K201" s="56" t="s">
        <v>160</v>
      </c>
    </row>
    <row r="202" spans="1:11" s="3" customFormat="1" ht="16.25" customHeight="1" x14ac:dyDescent="0.2">
      <c r="A202" s="166"/>
      <c r="B202" s="192"/>
      <c r="C202" s="5"/>
      <c r="D202" s="36"/>
      <c r="E202" s="16"/>
      <c r="F202" s="119"/>
      <c r="G202" s="94">
        <v>3.7999999999999999E-2</v>
      </c>
      <c r="H202" s="114"/>
      <c r="I202" s="70" t="s">
        <v>165</v>
      </c>
      <c r="J202" s="76" t="s">
        <v>141</v>
      </c>
      <c r="K202" s="56" t="s">
        <v>160</v>
      </c>
    </row>
    <row r="203" spans="1:11" s="3" customFormat="1" ht="16.25" customHeight="1" x14ac:dyDescent="0.2">
      <c r="A203" s="166"/>
      <c r="B203" s="192"/>
      <c r="C203" s="5"/>
      <c r="D203" s="36"/>
      <c r="E203" s="16"/>
      <c r="F203" s="119"/>
      <c r="G203" s="94">
        <v>3.7999999999999999E-2</v>
      </c>
      <c r="H203" s="114"/>
      <c r="I203" s="70" t="s">
        <v>166</v>
      </c>
      <c r="J203" s="76" t="s">
        <v>141</v>
      </c>
      <c r="K203" s="56" t="s">
        <v>160</v>
      </c>
    </row>
    <row r="204" spans="1:11" s="3" customFormat="1" ht="16.25" customHeight="1" x14ac:dyDescent="0.2">
      <c r="A204" s="166"/>
      <c r="B204" s="192"/>
      <c r="C204" s="5"/>
      <c r="D204" s="36"/>
      <c r="E204" s="16"/>
      <c r="F204" s="119"/>
      <c r="G204" s="94">
        <v>3.7999999999999999E-2</v>
      </c>
      <c r="H204" s="114"/>
      <c r="I204" s="70" t="s">
        <v>167</v>
      </c>
      <c r="J204" s="76" t="s">
        <v>141</v>
      </c>
      <c r="K204" s="56" t="s">
        <v>160</v>
      </c>
    </row>
    <row r="205" spans="1:11" s="3" customFormat="1" ht="16.25" customHeight="1" x14ac:dyDescent="0.2">
      <c r="A205" s="166"/>
      <c r="B205" s="192"/>
      <c r="C205" s="5"/>
      <c r="D205" s="36"/>
      <c r="E205" s="16"/>
      <c r="F205" s="101">
        <v>1.9E-2</v>
      </c>
      <c r="G205" s="102">
        <v>2.7E-2</v>
      </c>
      <c r="H205" s="103">
        <v>2.1999999999999999E-2</v>
      </c>
      <c r="I205" s="70" t="s">
        <v>171</v>
      </c>
      <c r="J205" s="76" t="s">
        <v>175</v>
      </c>
      <c r="K205" s="56" t="s">
        <v>169</v>
      </c>
    </row>
    <row r="206" spans="1:11" s="3" customFormat="1" ht="16.25" customHeight="1" x14ac:dyDescent="0.2">
      <c r="A206" s="166"/>
      <c r="B206" s="192"/>
      <c r="C206" s="5"/>
      <c r="D206" s="36"/>
      <c r="E206" s="16"/>
      <c r="F206" s="113">
        <v>2.06E-2</v>
      </c>
      <c r="G206" s="112">
        <v>13</v>
      </c>
      <c r="H206" s="110">
        <v>2.9</v>
      </c>
      <c r="I206" s="70" t="s">
        <v>170</v>
      </c>
      <c r="J206" s="76" t="s">
        <v>175</v>
      </c>
      <c r="K206" s="56" t="s">
        <v>169</v>
      </c>
    </row>
    <row r="207" spans="1:11" s="3" customFormat="1" ht="16.25" customHeight="1" x14ac:dyDescent="0.2">
      <c r="A207" s="166"/>
      <c r="B207" s="192"/>
      <c r="C207" s="5"/>
      <c r="D207" s="36"/>
      <c r="E207" s="16"/>
      <c r="F207" s="101">
        <v>1.7000000000000001E-2</v>
      </c>
      <c r="G207" s="102"/>
      <c r="H207" s="103"/>
      <c r="I207" s="70" t="s">
        <v>172</v>
      </c>
      <c r="J207" s="76" t="s">
        <v>174</v>
      </c>
      <c r="K207" s="56" t="s">
        <v>169</v>
      </c>
    </row>
    <row r="208" spans="1:11" s="3" customFormat="1" ht="16.25" customHeight="1" x14ac:dyDescent="0.2">
      <c r="A208" s="166"/>
      <c r="B208" s="192"/>
      <c r="C208" s="5"/>
      <c r="D208" s="36"/>
      <c r="E208" s="16"/>
      <c r="F208" s="119">
        <v>0.49</v>
      </c>
      <c r="G208" s="112">
        <v>11</v>
      </c>
      <c r="H208" s="110">
        <v>4.3</v>
      </c>
      <c r="I208" s="70" t="s">
        <v>173</v>
      </c>
      <c r="J208" s="76" t="s">
        <v>174</v>
      </c>
      <c r="K208" s="56" t="s">
        <v>169</v>
      </c>
    </row>
    <row r="209" spans="1:11" s="3" customFormat="1" ht="16.25" customHeight="1" x14ac:dyDescent="0.2">
      <c r="A209" s="166"/>
      <c r="B209" s="192"/>
      <c r="C209" s="5"/>
      <c r="D209" s="36"/>
      <c r="E209" s="16"/>
      <c r="F209" s="101">
        <v>0.33</v>
      </c>
      <c r="G209" s="123">
        <v>6.7</v>
      </c>
      <c r="H209" s="110">
        <v>3</v>
      </c>
      <c r="I209" s="70" t="s">
        <v>176</v>
      </c>
      <c r="J209" s="76" t="s">
        <v>175</v>
      </c>
      <c r="K209" s="56" t="s">
        <v>169</v>
      </c>
    </row>
    <row r="210" spans="1:11" s="3" customFormat="1" ht="16.25" customHeight="1" x14ac:dyDescent="0.2">
      <c r="A210" s="166"/>
      <c r="B210" s="192"/>
      <c r="C210" s="5"/>
      <c r="D210" s="36"/>
      <c r="E210" s="16"/>
      <c r="F210" s="119">
        <v>0.72</v>
      </c>
      <c r="G210" s="123">
        <v>6.1</v>
      </c>
      <c r="H210" s="110">
        <v>3.4</v>
      </c>
      <c r="I210" s="70" t="s">
        <v>177</v>
      </c>
      <c r="J210" s="76" t="s">
        <v>175</v>
      </c>
      <c r="K210" s="56" t="s">
        <v>169</v>
      </c>
    </row>
    <row r="211" spans="1:11" s="3" customFormat="1" ht="16.25" customHeight="1" x14ac:dyDescent="0.2">
      <c r="A211" s="166"/>
      <c r="B211" s="192"/>
      <c r="C211" s="5"/>
      <c r="D211" s="36"/>
      <c r="E211" s="16"/>
      <c r="F211" s="123">
        <v>2.2000000000000002</v>
      </c>
      <c r="G211" s="112">
        <v>182</v>
      </c>
      <c r="H211" s="112">
        <v>48</v>
      </c>
      <c r="I211" s="70" t="s">
        <v>178</v>
      </c>
      <c r="J211" s="76" t="s">
        <v>181</v>
      </c>
      <c r="K211" s="56" t="s">
        <v>169</v>
      </c>
    </row>
    <row r="212" spans="1:11" s="3" customFormat="1" ht="16.25" customHeight="1" x14ac:dyDescent="0.2">
      <c r="A212" s="166"/>
      <c r="B212" s="192"/>
      <c r="C212" s="5"/>
      <c r="D212" s="36"/>
      <c r="E212" s="16"/>
      <c r="F212" s="112">
        <v>52</v>
      </c>
      <c r="G212" s="112">
        <v>52</v>
      </c>
      <c r="H212" s="103"/>
      <c r="I212" s="70" t="s">
        <v>179</v>
      </c>
      <c r="J212" s="76" t="s">
        <v>181</v>
      </c>
      <c r="K212" s="56" t="s">
        <v>169</v>
      </c>
    </row>
    <row r="213" spans="1:11" s="3" customFormat="1" ht="16.25" customHeight="1" x14ac:dyDescent="0.2">
      <c r="A213" s="49"/>
      <c r="B213" s="193"/>
      <c r="C213" s="72"/>
      <c r="D213" s="38"/>
      <c r="E213" s="20"/>
      <c r="F213" s="115"/>
      <c r="G213" s="124"/>
      <c r="H213" s="146"/>
      <c r="I213" s="73"/>
      <c r="J213" s="77"/>
      <c r="K213" s="58"/>
    </row>
    <row r="214" spans="1:11" s="3" customFormat="1" ht="16.25" customHeight="1" x14ac:dyDescent="0.2">
      <c r="A214" s="209" t="s">
        <v>56</v>
      </c>
      <c r="B214" s="191" t="s">
        <v>57</v>
      </c>
      <c r="C214" s="6"/>
      <c r="D214" s="36" t="s">
        <v>123</v>
      </c>
      <c r="E214" s="16" t="s">
        <v>17</v>
      </c>
      <c r="F214" s="119"/>
      <c r="G214" s="127"/>
      <c r="H214" s="148"/>
      <c r="I214" s="45"/>
      <c r="J214" s="56"/>
      <c r="K214" s="56"/>
    </row>
    <row r="215" spans="1:11" s="3" customFormat="1" ht="16.25" customHeight="1" x14ac:dyDescent="0.2">
      <c r="A215" s="211"/>
      <c r="B215" s="193"/>
      <c r="C215" s="6">
        <v>350.1</v>
      </c>
      <c r="D215" s="36"/>
      <c r="E215" s="16" t="s">
        <v>18</v>
      </c>
      <c r="F215" s="119"/>
      <c r="G215" s="127"/>
      <c r="H215" s="148"/>
      <c r="I215" s="45"/>
      <c r="J215" s="56"/>
      <c r="K215" s="56"/>
    </row>
    <row r="216" spans="1:11" s="3" customFormat="1" ht="16.25" customHeight="1" x14ac:dyDescent="0.2">
      <c r="A216" s="209" t="s">
        <v>58</v>
      </c>
      <c r="B216" s="191" t="s">
        <v>59</v>
      </c>
      <c r="C216" s="29">
        <v>400.1</v>
      </c>
      <c r="D216" s="37" t="s">
        <v>105</v>
      </c>
      <c r="E216" s="33" t="s">
        <v>19</v>
      </c>
      <c r="F216" s="30">
        <v>1.08</v>
      </c>
      <c r="G216" s="64">
        <v>7.56</v>
      </c>
      <c r="H216" s="149"/>
      <c r="I216" s="69" t="s">
        <v>145</v>
      </c>
      <c r="J216" s="75" t="s">
        <v>141</v>
      </c>
      <c r="K216" s="57" t="s">
        <v>122</v>
      </c>
    </row>
    <row r="217" spans="1:11" s="3" customFormat="1" ht="16.25" customHeight="1" x14ac:dyDescent="0.2">
      <c r="A217" s="210"/>
      <c r="B217" s="192"/>
      <c r="C217" s="6"/>
      <c r="D217" s="36"/>
      <c r="E217" s="16"/>
      <c r="F217" s="24">
        <v>3.52</v>
      </c>
      <c r="G217" s="80">
        <v>46.2</v>
      </c>
      <c r="H217" s="150"/>
      <c r="I217" s="70" t="s">
        <v>145</v>
      </c>
      <c r="J217" s="91" t="s">
        <v>141</v>
      </c>
      <c r="K217" s="56" t="s">
        <v>149</v>
      </c>
    </row>
    <row r="218" spans="1:11" s="3" customFormat="1" ht="16.25" customHeight="1" x14ac:dyDescent="0.2">
      <c r="A218" s="210"/>
      <c r="B218" s="192"/>
      <c r="C218" s="6"/>
      <c r="D218" s="36"/>
      <c r="E218" s="16"/>
      <c r="F218" s="24"/>
      <c r="G218" s="63">
        <v>1.51</v>
      </c>
      <c r="H218" s="150"/>
      <c r="I218" s="70" t="s">
        <v>147</v>
      </c>
      <c r="J218" s="91" t="s">
        <v>141</v>
      </c>
      <c r="K218" s="45" t="s">
        <v>122</v>
      </c>
    </row>
    <row r="219" spans="1:11" s="3" customFormat="1" ht="16.25" customHeight="1" x14ac:dyDescent="0.2">
      <c r="A219" s="210"/>
      <c r="B219" s="192"/>
      <c r="C219" s="6"/>
      <c r="D219" s="36"/>
      <c r="E219" s="16"/>
      <c r="F219" s="24"/>
      <c r="G219" s="63">
        <v>0.5</v>
      </c>
      <c r="H219" s="150"/>
      <c r="I219" s="70" t="s">
        <v>124</v>
      </c>
      <c r="J219" s="76" t="s">
        <v>142</v>
      </c>
      <c r="K219" s="56" t="s">
        <v>122</v>
      </c>
    </row>
    <row r="220" spans="1:11" s="3" customFormat="1" ht="16.25" customHeight="1" x14ac:dyDescent="0.2">
      <c r="A220" s="210"/>
      <c r="B220" s="192"/>
      <c r="C220" s="6"/>
      <c r="D220" s="36"/>
      <c r="E220" s="16"/>
      <c r="F220" s="119"/>
      <c r="G220" s="111">
        <v>0.5</v>
      </c>
      <c r="H220" s="114"/>
      <c r="I220" s="70" t="s">
        <v>148</v>
      </c>
      <c r="J220" s="76" t="s">
        <v>142</v>
      </c>
      <c r="K220" s="56" t="s">
        <v>151</v>
      </c>
    </row>
    <row r="221" spans="1:11" s="3" customFormat="1" ht="16.25" customHeight="1" x14ac:dyDescent="0.2">
      <c r="A221" s="210"/>
      <c r="B221" s="192"/>
      <c r="C221" s="6"/>
      <c r="D221" s="36"/>
      <c r="E221" s="16"/>
      <c r="F221" s="119"/>
      <c r="G221" s="111">
        <v>5.6</v>
      </c>
      <c r="H221" s="114"/>
      <c r="I221" s="70" t="s">
        <v>148</v>
      </c>
      <c r="J221" s="76" t="s">
        <v>152</v>
      </c>
      <c r="K221" s="56" t="s">
        <v>151</v>
      </c>
    </row>
    <row r="222" spans="1:11" s="3" customFormat="1" ht="16.25" customHeight="1" x14ac:dyDescent="0.2">
      <c r="A222" s="210"/>
      <c r="B222" s="192"/>
      <c r="C222" s="6"/>
      <c r="D222" s="36"/>
      <c r="E222" s="16"/>
      <c r="F222" s="119"/>
      <c r="G222" s="111">
        <v>1.75</v>
      </c>
      <c r="H222" s="114"/>
      <c r="I222" s="70" t="s">
        <v>148</v>
      </c>
      <c r="J222" s="76" t="s">
        <v>153</v>
      </c>
      <c r="K222" s="56" t="s">
        <v>151</v>
      </c>
    </row>
    <row r="223" spans="1:11" s="3" customFormat="1" ht="16.25" customHeight="1" x14ac:dyDescent="0.2">
      <c r="A223" s="210"/>
      <c r="B223" s="192"/>
      <c r="C223" s="6"/>
      <c r="D223" s="36"/>
      <c r="E223" s="16"/>
      <c r="F223" s="119"/>
      <c r="G223" s="111">
        <v>0.17</v>
      </c>
      <c r="H223" s="114"/>
      <c r="I223" s="70" t="s">
        <v>154</v>
      </c>
      <c r="J223" s="76" t="s">
        <v>142</v>
      </c>
      <c r="K223" s="56" t="s">
        <v>151</v>
      </c>
    </row>
    <row r="224" spans="1:11" s="3" customFormat="1" ht="16.25" customHeight="1" x14ac:dyDescent="0.2">
      <c r="A224" s="210"/>
      <c r="B224" s="192"/>
      <c r="C224" s="6"/>
      <c r="D224" s="36"/>
      <c r="E224" s="16"/>
      <c r="F224" s="119"/>
      <c r="G224" s="111">
        <v>4.33</v>
      </c>
      <c r="H224" s="114"/>
      <c r="I224" s="70" t="s">
        <v>154</v>
      </c>
      <c r="J224" s="76" t="s">
        <v>152</v>
      </c>
      <c r="K224" s="56" t="s">
        <v>151</v>
      </c>
    </row>
    <row r="225" spans="1:11" s="3" customFormat="1" ht="16.25" customHeight="1" x14ac:dyDescent="0.2">
      <c r="A225" s="210"/>
      <c r="B225" s="192"/>
      <c r="C225" s="6"/>
      <c r="D225" s="36"/>
      <c r="E225" s="16"/>
      <c r="F225" s="119"/>
      <c r="G225" s="111">
        <v>7.46</v>
      </c>
      <c r="H225" s="114"/>
      <c r="I225" s="70" t="s">
        <v>155</v>
      </c>
      <c r="J225" s="76" t="s">
        <v>152</v>
      </c>
      <c r="K225" s="56" t="s">
        <v>151</v>
      </c>
    </row>
    <row r="226" spans="1:11" s="3" customFormat="1" ht="16.25" customHeight="1" x14ac:dyDescent="0.2">
      <c r="A226" s="210"/>
      <c r="B226" s="192"/>
      <c r="C226" s="6"/>
      <c r="D226" s="36"/>
      <c r="E226" s="16"/>
      <c r="F226" s="119"/>
      <c r="G226" s="111">
        <v>2.0499999999999998</v>
      </c>
      <c r="H226" s="114"/>
      <c r="I226" s="70" t="s">
        <v>155</v>
      </c>
      <c r="J226" s="76" t="s">
        <v>153</v>
      </c>
      <c r="K226" s="56" t="s">
        <v>151</v>
      </c>
    </row>
    <row r="227" spans="1:11" s="3" customFormat="1" ht="16.25" customHeight="1" x14ac:dyDescent="0.2">
      <c r="A227" s="210"/>
      <c r="B227" s="192"/>
      <c r="C227" s="6"/>
      <c r="D227" s="36"/>
      <c r="E227" s="16"/>
      <c r="F227" s="119"/>
      <c r="G227" s="111">
        <v>2.31</v>
      </c>
      <c r="H227" s="114"/>
      <c r="I227" s="70" t="s">
        <v>156</v>
      </c>
      <c r="J227" s="76" t="s">
        <v>152</v>
      </c>
      <c r="K227" s="56" t="s">
        <v>151</v>
      </c>
    </row>
    <row r="228" spans="1:11" s="3" customFormat="1" ht="16.25" customHeight="1" x14ac:dyDescent="0.2">
      <c r="A228" s="210"/>
      <c r="B228" s="192"/>
      <c r="C228" s="6"/>
      <c r="D228" s="36"/>
      <c r="E228" s="16"/>
      <c r="F228" s="119"/>
      <c r="G228" s="111">
        <v>4.9800000000000004</v>
      </c>
      <c r="H228" s="114"/>
      <c r="I228" s="70" t="s">
        <v>156</v>
      </c>
      <c r="J228" s="76" t="s">
        <v>153</v>
      </c>
      <c r="K228" s="56" t="s">
        <v>151</v>
      </c>
    </row>
    <row r="229" spans="1:11" s="3" customFormat="1" ht="16.25" customHeight="1" x14ac:dyDescent="0.2">
      <c r="A229" s="210"/>
      <c r="B229" s="192"/>
      <c r="C229" s="6"/>
      <c r="D229" s="36"/>
      <c r="E229" s="16"/>
      <c r="F229" s="101">
        <v>1.0999999999999999E-2</v>
      </c>
      <c r="G229" s="102">
        <v>0.39</v>
      </c>
      <c r="H229" s="103">
        <v>0.12</v>
      </c>
      <c r="I229" s="70" t="s">
        <v>171</v>
      </c>
      <c r="J229" s="76" t="s">
        <v>175</v>
      </c>
      <c r="K229" s="56" t="s">
        <v>169</v>
      </c>
    </row>
    <row r="230" spans="1:11" s="3" customFormat="1" ht="16.25" customHeight="1" x14ac:dyDescent="0.2">
      <c r="A230" s="210"/>
      <c r="B230" s="192"/>
      <c r="C230" s="6"/>
      <c r="D230" s="36"/>
      <c r="E230" s="16"/>
      <c r="F230" s="113">
        <v>2.8E-3</v>
      </c>
      <c r="G230" s="123">
        <v>8.8000000000000007</v>
      </c>
      <c r="H230" s="110">
        <v>1.1000000000000001</v>
      </c>
      <c r="I230" s="70" t="s">
        <v>170</v>
      </c>
      <c r="J230" s="76" t="s">
        <v>175</v>
      </c>
      <c r="K230" s="56" t="s">
        <v>169</v>
      </c>
    </row>
    <row r="231" spans="1:11" s="3" customFormat="1" ht="16.25" customHeight="1" x14ac:dyDescent="0.2">
      <c r="A231" s="210"/>
      <c r="B231" s="192"/>
      <c r="C231" s="6"/>
      <c r="D231" s="36"/>
      <c r="E231" s="16"/>
      <c r="F231" s="101">
        <v>2.5999999999999999E-2</v>
      </c>
      <c r="G231" s="102">
        <v>0.7</v>
      </c>
      <c r="H231" s="103">
        <v>0.16</v>
      </c>
      <c r="I231" s="70" t="s">
        <v>172</v>
      </c>
      <c r="J231" s="76" t="s">
        <v>174</v>
      </c>
      <c r="K231" s="56" t="s">
        <v>169</v>
      </c>
    </row>
    <row r="232" spans="1:11" s="3" customFormat="1" ht="16.25" customHeight="1" x14ac:dyDescent="0.2">
      <c r="A232" s="210"/>
      <c r="B232" s="192"/>
      <c r="C232" s="6"/>
      <c r="D232" s="36"/>
      <c r="E232" s="16"/>
      <c r="F232" s="119">
        <v>0.11</v>
      </c>
      <c r="G232" s="112">
        <v>56</v>
      </c>
      <c r="H232" s="110">
        <v>9.9</v>
      </c>
      <c r="I232" s="70" t="s">
        <v>173</v>
      </c>
      <c r="J232" s="76" t="s">
        <v>174</v>
      </c>
      <c r="K232" s="56" t="s">
        <v>169</v>
      </c>
    </row>
    <row r="233" spans="1:11" s="3" customFormat="1" ht="16.25" customHeight="1" x14ac:dyDescent="0.2">
      <c r="A233" s="210"/>
      <c r="B233" s="192"/>
      <c r="C233" s="6"/>
      <c r="D233" s="36"/>
      <c r="E233" s="16"/>
      <c r="F233" s="119">
        <v>0.35</v>
      </c>
      <c r="G233" s="123">
        <v>2.7</v>
      </c>
      <c r="H233" s="123">
        <v>1.2</v>
      </c>
      <c r="I233" s="70" t="s">
        <v>176</v>
      </c>
      <c r="J233" s="76" t="s">
        <v>175</v>
      </c>
      <c r="K233" s="56" t="s">
        <v>169</v>
      </c>
    </row>
    <row r="234" spans="1:11" s="3" customFormat="1" ht="16.25" customHeight="1" x14ac:dyDescent="0.2">
      <c r="A234" s="210"/>
      <c r="B234" s="192"/>
      <c r="C234" s="6"/>
      <c r="D234" s="36"/>
      <c r="E234" s="16"/>
      <c r="F234" s="119">
        <v>0.26</v>
      </c>
      <c r="G234" s="112">
        <v>39</v>
      </c>
      <c r="H234" s="112">
        <v>13</v>
      </c>
      <c r="I234" s="70" t="s">
        <v>177</v>
      </c>
      <c r="J234" s="76" t="s">
        <v>181</v>
      </c>
      <c r="K234" s="56" t="s">
        <v>169</v>
      </c>
    </row>
    <row r="235" spans="1:11" s="3" customFormat="1" ht="16.25" customHeight="1" x14ac:dyDescent="0.2">
      <c r="A235" s="210"/>
      <c r="B235" s="192"/>
      <c r="C235" s="6"/>
      <c r="D235" s="36"/>
      <c r="E235" s="16"/>
      <c r="F235" s="119">
        <v>0.13</v>
      </c>
      <c r="G235" s="111">
        <v>0.28000000000000003</v>
      </c>
      <c r="H235" s="111">
        <v>0.19</v>
      </c>
      <c r="I235" s="70" t="s">
        <v>178</v>
      </c>
      <c r="J235" s="76" t="s">
        <v>181</v>
      </c>
      <c r="K235" s="56" t="s">
        <v>169</v>
      </c>
    </row>
    <row r="236" spans="1:11" s="3" customFormat="1" ht="16.25" customHeight="1" x14ac:dyDescent="0.2">
      <c r="A236" s="210"/>
      <c r="B236" s="192"/>
      <c r="C236" s="6"/>
      <c r="D236" s="36"/>
      <c r="E236" s="16"/>
      <c r="F236" s="112">
        <v>129</v>
      </c>
      <c r="G236" s="112">
        <v>140</v>
      </c>
      <c r="H236" s="112">
        <v>135</v>
      </c>
      <c r="I236" s="70" t="s">
        <v>179</v>
      </c>
      <c r="J236" s="76" t="s">
        <v>175</v>
      </c>
      <c r="K236" s="56" t="s">
        <v>169</v>
      </c>
    </row>
    <row r="237" spans="1:11" s="3" customFormat="1" ht="16.25" customHeight="1" x14ac:dyDescent="0.2">
      <c r="A237" s="210"/>
      <c r="B237" s="192"/>
      <c r="C237" s="6"/>
      <c r="D237" s="36"/>
      <c r="E237" s="16"/>
      <c r="F237" s="119">
        <v>0.16</v>
      </c>
      <c r="G237" s="111">
        <v>0.16</v>
      </c>
      <c r="H237" s="103"/>
      <c r="I237" s="70" t="s">
        <v>180</v>
      </c>
      <c r="J237" s="76" t="s">
        <v>141</v>
      </c>
      <c r="K237" s="56" t="s">
        <v>169</v>
      </c>
    </row>
    <row r="238" spans="1:11" s="3" customFormat="1" ht="16.25" customHeight="1" x14ac:dyDescent="0.2">
      <c r="A238" s="211"/>
      <c r="B238" s="193"/>
      <c r="C238" s="21"/>
      <c r="D238" s="38"/>
      <c r="E238" s="20"/>
      <c r="F238" s="136"/>
      <c r="G238" s="137"/>
      <c r="H238" s="151"/>
      <c r="I238" s="73"/>
      <c r="J238" s="77"/>
      <c r="K238" s="58"/>
    </row>
    <row r="239" spans="1:11" s="3" customFormat="1" ht="16.25" customHeight="1" x14ac:dyDescent="0.2">
      <c r="A239" s="209" t="s">
        <v>60</v>
      </c>
      <c r="B239" s="191" t="s">
        <v>61</v>
      </c>
      <c r="C239" s="29">
        <v>400.1</v>
      </c>
      <c r="D239" s="36" t="s">
        <v>106</v>
      </c>
      <c r="E239" s="33" t="s">
        <v>19</v>
      </c>
      <c r="F239" s="30">
        <v>1.03</v>
      </c>
      <c r="G239" s="64">
        <v>6.57</v>
      </c>
      <c r="H239" s="149"/>
      <c r="I239" s="69" t="s">
        <v>145</v>
      </c>
      <c r="J239" s="75" t="s">
        <v>141</v>
      </c>
      <c r="K239" s="57" t="s">
        <v>122</v>
      </c>
    </row>
    <row r="240" spans="1:11" s="3" customFormat="1" ht="16.25" customHeight="1" x14ac:dyDescent="0.2">
      <c r="A240" s="210"/>
      <c r="B240" s="192"/>
      <c r="C240" s="6"/>
      <c r="D240" s="36"/>
      <c r="E240" s="16"/>
      <c r="F240" s="119"/>
      <c r="G240" s="127"/>
      <c r="H240" s="150"/>
      <c r="I240" s="70"/>
      <c r="J240" s="91"/>
      <c r="K240" s="56"/>
    </row>
    <row r="241" spans="1:11" s="3" customFormat="1" ht="16.25" customHeight="1" x14ac:dyDescent="0.2">
      <c r="A241" s="210"/>
      <c r="B241" s="192"/>
      <c r="C241" s="6"/>
      <c r="D241" s="36"/>
      <c r="E241" s="16"/>
      <c r="F241" s="119"/>
      <c r="G241" s="127"/>
      <c r="H241" s="150"/>
      <c r="I241" s="45"/>
      <c r="J241" s="91"/>
      <c r="K241" s="56"/>
    </row>
    <row r="242" spans="1:11" s="3" customFormat="1" ht="16.25" customHeight="1" x14ac:dyDescent="0.2">
      <c r="A242" s="211"/>
      <c r="B242" s="193"/>
      <c r="C242" s="21"/>
      <c r="D242" s="38"/>
      <c r="E242" s="20"/>
      <c r="F242" s="136"/>
      <c r="G242" s="137"/>
      <c r="H242" s="151"/>
      <c r="I242" s="43"/>
      <c r="J242" s="43"/>
      <c r="K242" s="58"/>
    </row>
    <row r="243" spans="1:11" s="3" customFormat="1" ht="16.25" customHeight="1" x14ac:dyDescent="0.2">
      <c r="A243" s="188" t="s">
        <v>62</v>
      </c>
      <c r="B243" s="191" t="s">
        <v>63</v>
      </c>
      <c r="C243" s="29">
        <v>500.1</v>
      </c>
      <c r="D243" s="37" t="s">
        <v>107</v>
      </c>
      <c r="E243" s="33" t="s">
        <v>20</v>
      </c>
      <c r="F243" s="30">
        <v>0.32</v>
      </c>
      <c r="G243" s="64">
        <v>1.67</v>
      </c>
      <c r="H243" s="152"/>
      <c r="I243" s="69" t="s">
        <v>145</v>
      </c>
      <c r="J243" s="75" t="s">
        <v>141</v>
      </c>
      <c r="K243" s="57" t="s">
        <v>122</v>
      </c>
    </row>
    <row r="244" spans="1:11" s="3" customFormat="1" ht="16.25" customHeight="1" x14ac:dyDescent="0.2">
      <c r="A244" s="189"/>
      <c r="B244" s="192"/>
      <c r="C244" s="6"/>
      <c r="D244" s="36"/>
      <c r="E244" s="16"/>
      <c r="F244" s="24">
        <v>0.75900000000000001</v>
      </c>
      <c r="G244" s="63">
        <v>6.49</v>
      </c>
      <c r="H244" s="153"/>
      <c r="I244" s="70" t="s">
        <v>145</v>
      </c>
      <c r="J244" s="91" t="s">
        <v>141</v>
      </c>
      <c r="K244" s="56" t="s">
        <v>149</v>
      </c>
    </row>
    <row r="245" spans="1:11" s="3" customFormat="1" ht="16.25" customHeight="1" x14ac:dyDescent="0.2">
      <c r="A245" s="189"/>
      <c r="B245" s="192"/>
      <c r="C245" s="6"/>
      <c r="D245" s="36"/>
      <c r="E245" s="16"/>
      <c r="F245" s="24"/>
      <c r="G245" s="63">
        <v>0.1</v>
      </c>
      <c r="H245" s="154"/>
      <c r="I245" s="70" t="s">
        <v>147</v>
      </c>
      <c r="J245" s="91" t="s">
        <v>141</v>
      </c>
      <c r="K245" s="45" t="s">
        <v>122</v>
      </c>
    </row>
    <row r="246" spans="1:11" s="3" customFormat="1" ht="16.25" customHeight="1" x14ac:dyDescent="0.2">
      <c r="A246" s="189"/>
      <c r="B246" s="192"/>
      <c r="C246" s="6"/>
      <c r="D246" s="36"/>
      <c r="E246" s="16"/>
      <c r="F246" s="119"/>
      <c r="G246" s="111">
        <v>4.24</v>
      </c>
      <c r="H246" s="114"/>
      <c r="I246" s="70" t="s">
        <v>148</v>
      </c>
      <c r="J246" s="76" t="s">
        <v>152</v>
      </c>
      <c r="K246" s="56" t="s">
        <v>151</v>
      </c>
    </row>
    <row r="247" spans="1:11" s="3" customFormat="1" ht="16.25" customHeight="1" x14ac:dyDescent="0.2">
      <c r="A247" s="189"/>
      <c r="B247" s="192"/>
      <c r="C247" s="6"/>
      <c r="D247" s="36"/>
      <c r="E247" s="16"/>
      <c r="F247" s="119"/>
      <c r="G247" s="111">
        <v>4.53</v>
      </c>
      <c r="H247" s="114"/>
      <c r="I247" s="70" t="s">
        <v>148</v>
      </c>
      <c r="J247" s="76" t="s">
        <v>153</v>
      </c>
      <c r="K247" s="56" t="s">
        <v>151</v>
      </c>
    </row>
    <row r="248" spans="1:11" s="3" customFormat="1" ht="16.25" customHeight="1" x14ac:dyDescent="0.2">
      <c r="A248" s="189"/>
      <c r="B248" s="192"/>
      <c r="C248" s="6"/>
      <c r="D248" s="36"/>
      <c r="E248" s="16"/>
      <c r="F248" s="119"/>
      <c r="G248" s="111">
        <v>0.03</v>
      </c>
      <c r="H248" s="114"/>
      <c r="I248" s="70" t="s">
        <v>154</v>
      </c>
      <c r="J248" s="76" t="s">
        <v>142</v>
      </c>
      <c r="K248" s="56" t="s">
        <v>151</v>
      </c>
    </row>
    <row r="249" spans="1:11" s="3" customFormat="1" ht="16.25" customHeight="1" x14ac:dyDescent="0.2">
      <c r="A249" s="189"/>
      <c r="B249" s="192"/>
      <c r="C249" s="6"/>
      <c r="D249" s="36"/>
      <c r="E249" s="16"/>
      <c r="F249" s="119"/>
      <c r="G249" s="111">
        <v>1.24</v>
      </c>
      <c r="H249" s="114"/>
      <c r="I249" s="70" t="s">
        <v>154</v>
      </c>
      <c r="J249" s="76" t="s">
        <v>152</v>
      </c>
      <c r="K249" s="56" t="s">
        <v>151</v>
      </c>
    </row>
    <row r="250" spans="1:11" s="3" customFormat="1" ht="16.25" customHeight="1" x14ac:dyDescent="0.2">
      <c r="A250" s="189"/>
      <c r="B250" s="192"/>
      <c r="C250" s="6"/>
      <c r="D250" s="36"/>
      <c r="E250" s="16"/>
      <c r="F250" s="119"/>
      <c r="G250" s="111">
        <v>2.39</v>
      </c>
      <c r="H250" s="114"/>
      <c r="I250" s="70" t="s">
        <v>154</v>
      </c>
      <c r="J250" s="76" t="s">
        <v>153</v>
      </c>
      <c r="K250" s="56" t="s">
        <v>151</v>
      </c>
    </row>
    <row r="251" spans="1:11" s="3" customFormat="1" ht="16.25" customHeight="1" x14ac:dyDescent="0.2">
      <c r="A251" s="189"/>
      <c r="B251" s="192"/>
      <c r="C251" s="6"/>
      <c r="D251" s="36"/>
      <c r="E251" s="16"/>
      <c r="F251" s="119"/>
      <c r="G251" s="111">
        <v>3.74</v>
      </c>
      <c r="H251" s="114"/>
      <c r="I251" s="70" t="s">
        <v>155</v>
      </c>
      <c r="J251" s="76" t="s">
        <v>152</v>
      </c>
      <c r="K251" s="56" t="s">
        <v>151</v>
      </c>
    </row>
    <row r="252" spans="1:11" s="3" customFormat="1" ht="16.25" customHeight="1" x14ac:dyDescent="0.2">
      <c r="A252" s="189"/>
      <c r="B252" s="192"/>
      <c r="C252" s="6"/>
      <c r="D252" s="36"/>
      <c r="E252" s="16"/>
      <c r="F252" s="119"/>
      <c r="G252" s="111">
        <v>0.7</v>
      </c>
      <c r="H252" s="114"/>
      <c r="I252" s="70" t="s">
        <v>155</v>
      </c>
      <c r="J252" s="76" t="s">
        <v>153</v>
      </c>
      <c r="K252" s="56" t="s">
        <v>151</v>
      </c>
    </row>
    <row r="253" spans="1:11" s="3" customFormat="1" ht="16.25" customHeight="1" x14ac:dyDescent="0.2">
      <c r="A253" s="189"/>
      <c r="B253" s="192"/>
      <c r="C253" s="6"/>
      <c r="D253" s="36"/>
      <c r="E253" s="16"/>
      <c r="F253" s="119"/>
      <c r="G253" s="111">
        <v>1.39</v>
      </c>
      <c r="H253" s="114"/>
      <c r="I253" s="70" t="s">
        <v>156</v>
      </c>
      <c r="J253" s="76" t="s">
        <v>152</v>
      </c>
      <c r="K253" s="56" t="s">
        <v>151</v>
      </c>
    </row>
    <row r="254" spans="1:11" s="3" customFormat="1" ht="16.25" customHeight="1" x14ac:dyDescent="0.2">
      <c r="A254" s="189"/>
      <c r="B254" s="192"/>
      <c r="C254" s="6"/>
      <c r="D254" s="36"/>
      <c r="E254" s="16"/>
      <c r="F254" s="119"/>
      <c r="G254" s="111">
        <v>4.22</v>
      </c>
      <c r="H254" s="114"/>
      <c r="I254" s="70" t="s">
        <v>156</v>
      </c>
      <c r="J254" s="76" t="s">
        <v>153</v>
      </c>
      <c r="K254" s="56" t="s">
        <v>151</v>
      </c>
    </row>
    <row r="255" spans="1:11" s="3" customFormat="1" ht="16.25" customHeight="1" x14ac:dyDescent="0.2">
      <c r="A255" s="189"/>
      <c r="B255" s="192"/>
      <c r="C255" s="6"/>
      <c r="D255" s="36"/>
      <c r="E255" s="16"/>
      <c r="F255" s="119"/>
      <c r="G255" s="62">
        <v>14</v>
      </c>
      <c r="H255" s="155"/>
      <c r="I255" s="70" t="s">
        <v>159</v>
      </c>
      <c r="J255" s="76" t="s">
        <v>161</v>
      </c>
      <c r="K255" s="56" t="s">
        <v>160</v>
      </c>
    </row>
    <row r="256" spans="1:11" s="3" customFormat="1" ht="16.25" customHeight="1" x14ac:dyDescent="0.2">
      <c r="A256" s="189"/>
      <c r="B256" s="192"/>
      <c r="C256" s="6"/>
      <c r="D256" s="36"/>
      <c r="E256" s="16"/>
      <c r="F256" s="119"/>
      <c r="G256" s="63">
        <v>1.4</v>
      </c>
      <c r="H256" s="155"/>
      <c r="I256" s="70" t="s">
        <v>162</v>
      </c>
      <c r="J256" s="76" t="s">
        <v>141</v>
      </c>
      <c r="K256" s="56" t="s">
        <v>160</v>
      </c>
    </row>
    <row r="257" spans="1:11" s="3" customFormat="1" ht="16.25" customHeight="1" x14ac:dyDescent="0.2">
      <c r="A257" s="189"/>
      <c r="B257" s="192"/>
      <c r="C257" s="6"/>
      <c r="D257" s="36"/>
      <c r="E257" s="16"/>
      <c r="F257" s="119"/>
      <c r="G257" s="63">
        <v>0.35</v>
      </c>
      <c r="H257" s="155"/>
      <c r="I257" s="70" t="s">
        <v>163</v>
      </c>
      <c r="J257" s="76" t="s">
        <v>141</v>
      </c>
      <c r="K257" s="56" t="s">
        <v>160</v>
      </c>
    </row>
    <row r="258" spans="1:11" s="3" customFormat="1" ht="16.25" customHeight="1" x14ac:dyDescent="0.2">
      <c r="A258" s="189"/>
      <c r="B258" s="192"/>
      <c r="C258" s="6"/>
      <c r="D258" s="36"/>
      <c r="E258" s="16"/>
      <c r="F258" s="119"/>
      <c r="G258" s="94">
        <v>0.13</v>
      </c>
      <c r="H258" s="155"/>
      <c r="I258" s="70" t="s">
        <v>164</v>
      </c>
      <c r="J258" s="76" t="s">
        <v>141</v>
      </c>
      <c r="K258" s="56" t="s">
        <v>160</v>
      </c>
    </row>
    <row r="259" spans="1:11" s="3" customFormat="1" ht="16.25" customHeight="1" x14ac:dyDescent="0.2">
      <c r="A259" s="189"/>
      <c r="B259" s="192"/>
      <c r="C259" s="6"/>
      <c r="D259" s="36"/>
      <c r="E259" s="16"/>
      <c r="F259" s="119"/>
      <c r="G259" s="94">
        <v>0.11</v>
      </c>
      <c r="H259" s="155"/>
      <c r="I259" s="70" t="s">
        <v>165</v>
      </c>
      <c r="J259" s="76" t="s">
        <v>141</v>
      </c>
      <c r="K259" s="56" t="s">
        <v>160</v>
      </c>
    </row>
    <row r="260" spans="1:11" s="3" customFormat="1" ht="16.25" customHeight="1" x14ac:dyDescent="0.2">
      <c r="A260" s="189"/>
      <c r="B260" s="192"/>
      <c r="C260" s="6"/>
      <c r="D260" s="36"/>
      <c r="E260" s="16"/>
      <c r="F260" s="119"/>
      <c r="G260" s="94">
        <v>5.3999999999999999E-2</v>
      </c>
      <c r="H260" s="155"/>
      <c r="I260" s="70" t="s">
        <v>166</v>
      </c>
      <c r="J260" s="76" t="s">
        <v>141</v>
      </c>
      <c r="K260" s="56" t="s">
        <v>160</v>
      </c>
    </row>
    <row r="261" spans="1:11" s="3" customFormat="1" ht="16.25" customHeight="1" x14ac:dyDescent="0.2">
      <c r="A261" s="189"/>
      <c r="B261" s="192"/>
      <c r="C261" s="6"/>
      <c r="D261" s="36"/>
      <c r="E261" s="16"/>
      <c r="F261" s="119"/>
      <c r="G261" s="94">
        <v>5.2999999999999999E-2</v>
      </c>
      <c r="H261" s="155"/>
      <c r="I261" s="70" t="s">
        <v>167</v>
      </c>
      <c r="J261" s="76" t="s">
        <v>141</v>
      </c>
      <c r="K261" s="56" t="s">
        <v>160</v>
      </c>
    </row>
    <row r="262" spans="1:11" s="3" customFormat="1" ht="16.25" customHeight="1" x14ac:dyDescent="0.2">
      <c r="A262" s="189"/>
      <c r="B262" s="192"/>
      <c r="C262" s="6"/>
      <c r="D262" s="36"/>
      <c r="E262" s="16"/>
      <c r="F262" s="101">
        <v>1.0999999999999999E-2</v>
      </c>
      <c r="G262" s="109">
        <v>1.4</v>
      </c>
      <c r="H262" s="156">
        <v>0.39</v>
      </c>
      <c r="I262" s="70" t="s">
        <v>171</v>
      </c>
      <c r="J262" s="76" t="s">
        <v>175</v>
      </c>
      <c r="K262" s="56" t="s">
        <v>169</v>
      </c>
    </row>
    <row r="263" spans="1:11" s="3" customFormat="1" ht="16.25" customHeight="1" x14ac:dyDescent="0.2">
      <c r="A263" s="189"/>
      <c r="B263" s="192"/>
      <c r="C263" s="6"/>
      <c r="D263" s="36"/>
      <c r="E263" s="16"/>
      <c r="F263" s="157">
        <v>3.2000000000000003E-4</v>
      </c>
      <c r="G263" s="112">
        <v>11</v>
      </c>
      <c r="H263" s="156">
        <v>0.99</v>
      </c>
      <c r="I263" s="70" t="s">
        <v>170</v>
      </c>
      <c r="J263" s="76" t="s">
        <v>175</v>
      </c>
      <c r="K263" s="56" t="s">
        <v>169</v>
      </c>
    </row>
    <row r="264" spans="1:11" s="3" customFormat="1" ht="16.25" customHeight="1" x14ac:dyDescent="0.2">
      <c r="A264" s="189"/>
      <c r="B264" s="192"/>
      <c r="C264" s="6"/>
      <c r="D264" s="36"/>
      <c r="E264" s="16"/>
      <c r="F264" s="101">
        <v>1.2999999999999999E-2</v>
      </c>
      <c r="G264" s="102">
        <v>0.79</v>
      </c>
      <c r="H264" s="156">
        <v>0.2</v>
      </c>
      <c r="I264" s="70" t="s">
        <v>172</v>
      </c>
      <c r="J264" s="76" t="s">
        <v>174</v>
      </c>
      <c r="K264" s="56" t="s">
        <v>169</v>
      </c>
    </row>
    <row r="265" spans="1:11" s="3" customFormat="1" ht="16.25" customHeight="1" x14ac:dyDescent="0.2">
      <c r="A265" s="189"/>
      <c r="B265" s="192"/>
      <c r="C265" s="6"/>
      <c r="D265" s="36"/>
      <c r="E265" s="16"/>
      <c r="F265" s="101">
        <v>1.0999999999999999E-2</v>
      </c>
      <c r="G265" s="109">
        <v>6</v>
      </c>
      <c r="H265" s="110">
        <v>1.5</v>
      </c>
      <c r="I265" s="70" t="s">
        <v>173</v>
      </c>
      <c r="J265" s="76" t="s">
        <v>174</v>
      </c>
      <c r="K265" s="56" t="s">
        <v>169</v>
      </c>
    </row>
    <row r="266" spans="1:11" s="3" customFormat="1" ht="16.25" customHeight="1" x14ac:dyDescent="0.2">
      <c r="A266" s="189"/>
      <c r="B266" s="192"/>
      <c r="C266" s="6"/>
      <c r="D266" s="36"/>
      <c r="E266" s="16"/>
      <c r="F266" s="103">
        <v>6.4000000000000001E-2</v>
      </c>
      <c r="G266" s="156">
        <v>0.18</v>
      </c>
      <c r="H266" s="156">
        <v>0.12</v>
      </c>
      <c r="I266" s="70" t="s">
        <v>176</v>
      </c>
      <c r="J266" s="76" t="s">
        <v>175</v>
      </c>
      <c r="K266" s="56" t="s">
        <v>169</v>
      </c>
    </row>
    <row r="267" spans="1:11" s="3" customFormat="1" ht="16.25" customHeight="1" x14ac:dyDescent="0.2">
      <c r="A267" s="189"/>
      <c r="B267" s="192"/>
      <c r="C267" s="6"/>
      <c r="D267" s="36"/>
      <c r="E267" s="16"/>
      <c r="F267" s="113">
        <v>5.1000000000000004E-3</v>
      </c>
      <c r="G267" s="120">
        <v>0.12</v>
      </c>
      <c r="H267" s="158">
        <v>8.5000000000000006E-3</v>
      </c>
      <c r="I267" s="70" t="s">
        <v>177</v>
      </c>
      <c r="J267" s="76" t="s">
        <v>175</v>
      </c>
      <c r="K267" s="56" t="s">
        <v>169</v>
      </c>
    </row>
    <row r="268" spans="1:11" s="3" customFormat="1" ht="16.25" customHeight="1" x14ac:dyDescent="0.2">
      <c r="A268" s="189"/>
      <c r="B268" s="192"/>
      <c r="C268" s="6"/>
      <c r="D268" s="36"/>
      <c r="E268" s="16"/>
      <c r="F268" s="103">
        <v>8.6999999999999994E-2</v>
      </c>
      <c r="G268" s="156">
        <v>0.17</v>
      </c>
      <c r="H268" s="156">
        <v>0.13</v>
      </c>
      <c r="I268" s="70" t="s">
        <v>178</v>
      </c>
      <c r="J268" s="76" t="s">
        <v>181</v>
      </c>
      <c r="K268" s="56" t="s">
        <v>169</v>
      </c>
    </row>
    <row r="269" spans="1:11" s="3" customFormat="1" ht="16.25" customHeight="1" x14ac:dyDescent="0.2">
      <c r="A269" s="189"/>
      <c r="B269" s="192"/>
      <c r="C269" s="6"/>
      <c r="D269" s="36"/>
      <c r="E269" s="16"/>
      <c r="F269" s="112">
        <v>129</v>
      </c>
      <c r="G269" s="112">
        <v>140</v>
      </c>
      <c r="H269" s="112">
        <v>135</v>
      </c>
      <c r="I269" s="70" t="s">
        <v>179</v>
      </c>
      <c r="J269" s="76" t="s">
        <v>181</v>
      </c>
      <c r="K269" s="56" t="s">
        <v>169</v>
      </c>
    </row>
    <row r="270" spans="1:11" s="3" customFormat="1" ht="16.25" customHeight="1" x14ac:dyDescent="0.2">
      <c r="A270" s="190"/>
      <c r="B270" s="193"/>
      <c r="C270" s="21"/>
      <c r="D270" s="38"/>
      <c r="E270" s="20"/>
      <c r="F270" s="136"/>
      <c r="G270" s="137"/>
      <c r="H270" s="159"/>
      <c r="I270" s="43"/>
      <c r="J270" s="58"/>
      <c r="K270" s="58"/>
    </row>
    <row r="271" spans="1:11" s="3" customFormat="1" ht="16.25" customHeight="1" x14ac:dyDescent="0.2">
      <c r="A271" s="51" t="s">
        <v>64</v>
      </c>
      <c r="B271" s="191" t="s">
        <v>65</v>
      </c>
      <c r="C271" s="6">
        <v>550.1</v>
      </c>
      <c r="D271" s="36" t="s">
        <v>108</v>
      </c>
      <c r="E271" s="33" t="s">
        <v>17</v>
      </c>
      <c r="F271" s="122"/>
      <c r="G271" s="125"/>
      <c r="H271" s="160"/>
      <c r="I271" s="44"/>
      <c r="J271" s="57"/>
      <c r="K271" s="57"/>
    </row>
    <row r="272" spans="1:11" s="3" customFormat="1" ht="16.25" customHeight="1" x14ac:dyDescent="0.2">
      <c r="A272" s="49"/>
      <c r="B272" s="193"/>
      <c r="C272" s="6">
        <v>550.1</v>
      </c>
      <c r="D272" s="77"/>
      <c r="E272" s="20" t="s">
        <v>18</v>
      </c>
      <c r="F272" s="136"/>
      <c r="G272" s="137"/>
      <c r="H272" s="161"/>
      <c r="I272" s="43"/>
      <c r="J272" s="58"/>
      <c r="K272" s="58"/>
    </row>
    <row r="273" spans="1:11" s="3" customFormat="1" ht="16.25" customHeight="1" x14ac:dyDescent="0.2">
      <c r="A273" s="51" t="s">
        <v>66</v>
      </c>
      <c r="B273" s="191" t="s">
        <v>67</v>
      </c>
      <c r="C273" s="6">
        <v>600.1</v>
      </c>
      <c r="D273" s="36" t="s">
        <v>109</v>
      </c>
      <c r="E273" s="16" t="s">
        <v>17</v>
      </c>
      <c r="F273" s="119"/>
      <c r="G273" s="63">
        <v>0.19</v>
      </c>
      <c r="H273" s="148"/>
      <c r="I273" s="69" t="s">
        <v>145</v>
      </c>
      <c r="J273" s="75" t="s">
        <v>141</v>
      </c>
      <c r="K273" s="57" t="s">
        <v>122</v>
      </c>
    </row>
    <row r="274" spans="1:11" s="3" customFormat="1" ht="16.25" customHeight="1" x14ac:dyDescent="0.2">
      <c r="A274" s="48"/>
      <c r="B274" s="192"/>
      <c r="C274" s="6">
        <v>600.1</v>
      </c>
      <c r="D274" s="76"/>
      <c r="E274" s="16" t="s">
        <v>18</v>
      </c>
      <c r="F274" s="119"/>
      <c r="G274" s="127"/>
      <c r="H274" s="148"/>
      <c r="I274" s="45"/>
      <c r="J274" s="56"/>
      <c r="K274" s="56"/>
    </row>
    <row r="275" spans="1:11" s="3" customFormat="1" ht="16.25" customHeight="1" x14ac:dyDescent="0.2">
      <c r="A275" s="169" t="s">
        <v>1</v>
      </c>
      <c r="B275" s="170"/>
      <c r="C275" s="82"/>
      <c r="D275" s="171"/>
      <c r="E275" s="172"/>
      <c r="F275" s="172"/>
      <c r="G275" s="172"/>
      <c r="H275" s="172"/>
      <c r="I275" s="173"/>
      <c r="J275" s="174"/>
      <c r="K275" s="175"/>
    </row>
    <row r="276" spans="1:11" s="4" customFormat="1" ht="16.25" customHeight="1" x14ac:dyDescent="0.2">
      <c r="A276" s="197" t="s">
        <v>71</v>
      </c>
      <c r="B276" s="200" t="s">
        <v>68</v>
      </c>
      <c r="C276" s="10">
        <v>328.2</v>
      </c>
      <c r="D276" s="40" t="s">
        <v>110</v>
      </c>
      <c r="E276" s="18" t="s">
        <v>21</v>
      </c>
      <c r="F276" s="18"/>
      <c r="G276" s="66"/>
      <c r="H276" s="19"/>
      <c r="I276" s="28"/>
      <c r="J276" s="87"/>
      <c r="K276" s="60"/>
    </row>
    <row r="277" spans="1:11" s="4" customFormat="1" ht="16.25" customHeight="1" x14ac:dyDescent="0.2">
      <c r="A277" s="198"/>
      <c r="B277" s="201"/>
      <c r="C277" s="10"/>
      <c r="D277" s="42"/>
      <c r="E277" s="95"/>
      <c r="F277" s="95"/>
      <c r="G277" s="96"/>
      <c r="H277" s="97"/>
      <c r="I277" s="98"/>
      <c r="J277" s="99"/>
      <c r="K277" s="100"/>
    </row>
    <row r="278" spans="1:11" s="4" customFormat="1" ht="16.25" customHeight="1" x14ac:dyDescent="0.2">
      <c r="A278" s="196" t="s">
        <v>72</v>
      </c>
      <c r="B278" s="199" t="s">
        <v>69</v>
      </c>
      <c r="C278" s="10"/>
      <c r="D278" s="40" t="s">
        <v>111</v>
      </c>
      <c r="E278" s="18"/>
      <c r="F278" s="101">
        <v>1.7999999999999999E-2</v>
      </c>
      <c r="G278" s="112">
        <v>26</v>
      </c>
      <c r="H278" s="110">
        <v>1.5</v>
      </c>
      <c r="I278" s="70" t="s">
        <v>171</v>
      </c>
      <c r="J278" s="76" t="s">
        <v>175</v>
      </c>
      <c r="K278" s="56" t="s">
        <v>169</v>
      </c>
    </row>
    <row r="279" spans="1:11" s="4" customFormat="1" ht="16.25" customHeight="1" x14ac:dyDescent="0.2">
      <c r="A279" s="197"/>
      <c r="B279" s="200"/>
      <c r="C279" s="10"/>
      <c r="D279" s="40"/>
      <c r="E279" s="18"/>
      <c r="F279" s="101">
        <v>4.2999999999999997E-2</v>
      </c>
      <c r="G279" s="112">
        <v>13698</v>
      </c>
      <c r="H279" s="114">
        <v>653</v>
      </c>
      <c r="I279" s="70" t="s">
        <v>170</v>
      </c>
      <c r="J279" s="76" t="s">
        <v>175</v>
      </c>
      <c r="K279" s="56" t="s">
        <v>169</v>
      </c>
    </row>
    <row r="280" spans="1:11" s="4" customFormat="1" ht="16.25" customHeight="1" x14ac:dyDescent="0.2">
      <c r="A280" s="197"/>
      <c r="B280" s="200"/>
      <c r="C280" s="10"/>
      <c r="D280" s="40"/>
      <c r="E280" s="18"/>
      <c r="F280" s="101">
        <v>2.3E-2</v>
      </c>
      <c r="G280" s="102">
        <v>0.62</v>
      </c>
      <c r="H280" s="103">
        <v>0.15</v>
      </c>
      <c r="I280" s="70" t="s">
        <v>172</v>
      </c>
      <c r="J280" s="76" t="s">
        <v>174</v>
      </c>
      <c r="K280" s="56" t="s">
        <v>169</v>
      </c>
    </row>
    <row r="281" spans="1:11" s="4" customFormat="1" ht="16.25" customHeight="1" x14ac:dyDescent="0.2">
      <c r="A281" s="197"/>
      <c r="B281" s="200"/>
      <c r="C281" s="10"/>
      <c r="D281" s="40"/>
      <c r="E281" s="18"/>
      <c r="F281" s="101">
        <v>0.12</v>
      </c>
      <c r="G281" s="112">
        <v>68</v>
      </c>
      <c r="H281" s="112">
        <v>12</v>
      </c>
      <c r="I281" s="70" t="s">
        <v>173</v>
      </c>
      <c r="J281" s="76" t="s">
        <v>174</v>
      </c>
      <c r="K281" s="56" t="s">
        <v>169</v>
      </c>
    </row>
    <row r="282" spans="1:11" s="4" customFormat="1" ht="16.25" customHeight="1" x14ac:dyDescent="0.2">
      <c r="A282" s="197"/>
      <c r="B282" s="200"/>
      <c r="C282" s="10"/>
      <c r="D282" s="40"/>
      <c r="E282" s="18"/>
      <c r="F282" s="112">
        <v>12</v>
      </c>
      <c r="G282" s="112">
        <v>609</v>
      </c>
      <c r="H282" s="112">
        <v>256</v>
      </c>
      <c r="I282" s="70" t="s">
        <v>176</v>
      </c>
      <c r="J282" s="76" t="s">
        <v>175</v>
      </c>
      <c r="K282" s="56" t="s">
        <v>169</v>
      </c>
    </row>
    <row r="283" spans="1:11" s="4" customFormat="1" ht="16.25" customHeight="1" x14ac:dyDescent="0.2">
      <c r="A283" s="197"/>
      <c r="B283" s="200"/>
      <c r="C283" s="10"/>
      <c r="D283" s="40"/>
      <c r="E283" s="18"/>
      <c r="F283" s="112">
        <v>5</v>
      </c>
      <c r="G283" s="112">
        <v>223</v>
      </c>
      <c r="H283" s="112">
        <v>79</v>
      </c>
      <c r="I283" s="70" t="s">
        <v>177</v>
      </c>
      <c r="J283" s="76" t="s">
        <v>175</v>
      </c>
      <c r="K283" s="56" t="s">
        <v>169</v>
      </c>
    </row>
    <row r="284" spans="1:11" s="4" customFormat="1" ht="16.25" customHeight="1" x14ac:dyDescent="0.2">
      <c r="A284" s="197"/>
      <c r="B284" s="200"/>
      <c r="C284" s="10"/>
      <c r="D284" s="40"/>
      <c r="E284" s="18"/>
      <c r="F284" s="112">
        <v>16</v>
      </c>
      <c r="G284" s="112">
        <v>3983</v>
      </c>
      <c r="H284" s="112">
        <v>931</v>
      </c>
      <c r="I284" s="70" t="s">
        <v>178</v>
      </c>
      <c r="J284" s="76" t="s">
        <v>181</v>
      </c>
      <c r="K284" s="56" t="s">
        <v>169</v>
      </c>
    </row>
    <row r="285" spans="1:11" s="4" customFormat="1" ht="16.25" customHeight="1" x14ac:dyDescent="0.2">
      <c r="A285" s="197"/>
      <c r="B285" s="200"/>
      <c r="C285" s="10"/>
      <c r="D285" s="40"/>
      <c r="E285" s="18"/>
      <c r="F285" s="112">
        <v>32</v>
      </c>
      <c r="G285" s="112">
        <v>32</v>
      </c>
      <c r="H285" s="103"/>
      <c r="I285" s="70" t="s">
        <v>180</v>
      </c>
      <c r="J285" s="76" t="s">
        <v>141</v>
      </c>
      <c r="K285" s="56" t="s">
        <v>169</v>
      </c>
    </row>
    <row r="286" spans="1:11" s="4" customFormat="1" ht="16.25" customHeight="1" x14ac:dyDescent="0.2">
      <c r="A286" s="197"/>
      <c r="B286" s="200"/>
      <c r="C286" s="10"/>
      <c r="D286" s="40"/>
      <c r="E286" s="18"/>
      <c r="F286" s="18"/>
      <c r="G286" s="66"/>
      <c r="H286" s="19"/>
      <c r="I286" s="28"/>
      <c r="J286" s="87"/>
      <c r="K286" s="60"/>
    </row>
    <row r="287" spans="1:11" s="3" customFormat="1" ht="16.25" customHeight="1" x14ac:dyDescent="0.2">
      <c r="A287" s="198"/>
      <c r="B287" s="201"/>
      <c r="C287" s="21">
        <v>428.2</v>
      </c>
      <c r="D287" s="42"/>
      <c r="E287" s="95" t="s">
        <v>16</v>
      </c>
      <c r="F287" s="95"/>
      <c r="G287" s="96"/>
      <c r="H287" s="97"/>
      <c r="I287" s="32"/>
      <c r="J287" s="90"/>
      <c r="K287" s="58"/>
    </row>
    <row r="288" spans="1:11" s="3" customFormat="1" ht="16.25" hidden="1" customHeight="1" x14ac:dyDescent="0.2">
      <c r="A288" s="194" t="s">
        <v>73</v>
      </c>
      <c r="B288" s="191" t="s">
        <v>70</v>
      </c>
      <c r="C288" s="29">
        <v>528.20000000000005</v>
      </c>
      <c r="D288" s="41" t="s">
        <v>112</v>
      </c>
      <c r="E288" s="33" t="s">
        <v>22</v>
      </c>
      <c r="F288" s="162"/>
      <c r="G288" s="163"/>
      <c r="H288" s="164"/>
      <c r="I288" s="31"/>
      <c r="J288" s="89"/>
      <c r="K288" s="57"/>
    </row>
    <row r="289" spans="1:11" s="3" customFormat="1" ht="16.25" hidden="1" customHeight="1" x14ac:dyDescent="0.2">
      <c r="A289" s="195"/>
      <c r="B289" s="193"/>
      <c r="C289" s="21"/>
      <c r="D289" s="42"/>
      <c r="E289" s="20"/>
      <c r="F289" s="95"/>
      <c r="G289" s="96"/>
      <c r="H289" s="97"/>
      <c r="I289" s="32"/>
      <c r="J289" s="90"/>
      <c r="K289" s="58"/>
    </row>
    <row r="290" spans="1:11" s="3" customFormat="1" ht="16.25" hidden="1" customHeight="1" x14ac:dyDescent="0.2">
      <c r="A290" s="50" t="s">
        <v>2</v>
      </c>
      <c r="B290" s="8"/>
      <c r="C290" s="9"/>
      <c r="D290" s="39"/>
      <c r="E290" s="17"/>
      <c r="F290" s="18"/>
      <c r="G290" s="66"/>
      <c r="H290" s="19"/>
      <c r="I290" s="27"/>
      <c r="J290" s="86"/>
      <c r="K290" s="59"/>
    </row>
    <row r="291" spans="1:11" s="3" customFormat="1" ht="16.25" hidden="1" customHeight="1" x14ac:dyDescent="0.2">
      <c r="A291" s="47" t="s">
        <v>75</v>
      </c>
      <c r="B291" s="11" t="s">
        <v>74</v>
      </c>
      <c r="C291" s="6">
        <v>499.1</v>
      </c>
      <c r="D291" s="36" t="s">
        <v>113</v>
      </c>
      <c r="E291" s="16" t="s">
        <v>23</v>
      </c>
      <c r="F291" s="18"/>
      <c r="G291" s="66"/>
      <c r="H291" s="19"/>
      <c r="I291" s="26"/>
      <c r="J291" s="88"/>
      <c r="K291" s="56"/>
    </row>
    <row r="292" spans="1:11" s="3" customFormat="1" ht="26.25" hidden="1" customHeight="1" x14ac:dyDescent="0.2">
      <c r="A292" s="50" t="s">
        <v>7</v>
      </c>
      <c r="B292" s="8"/>
      <c r="C292" s="9"/>
      <c r="D292" s="39"/>
      <c r="E292" s="17"/>
      <c r="F292" s="18"/>
      <c r="G292" s="66"/>
      <c r="H292" s="19"/>
      <c r="I292" s="27"/>
      <c r="J292" s="86"/>
      <c r="K292" s="59"/>
    </row>
    <row r="293" spans="1:11" s="3" customFormat="1" ht="16.25" hidden="1" customHeight="1" x14ac:dyDescent="0.2">
      <c r="A293" s="52" t="s">
        <v>77</v>
      </c>
      <c r="B293" s="12" t="s">
        <v>76</v>
      </c>
      <c r="C293" s="6">
        <v>571.20000000000005</v>
      </c>
      <c r="D293" s="36" t="s">
        <v>114</v>
      </c>
      <c r="E293" s="16" t="s">
        <v>24</v>
      </c>
      <c r="F293" s="18"/>
      <c r="G293" s="66"/>
      <c r="H293" s="19"/>
      <c r="I293" s="26"/>
      <c r="J293" s="88"/>
      <c r="K293" s="56"/>
    </row>
    <row r="294" spans="1:11" s="3" customFormat="1" ht="16.25" hidden="1" customHeight="1" x14ac:dyDescent="0.2">
      <c r="A294" s="52" t="s">
        <v>79</v>
      </c>
      <c r="B294" s="12" t="s">
        <v>78</v>
      </c>
      <c r="C294" s="6">
        <v>585.20000000000005</v>
      </c>
      <c r="D294" s="36" t="s">
        <v>115</v>
      </c>
      <c r="E294" s="16" t="s">
        <v>25</v>
      </c>
      <c r="F294" s="18"/>
      <c r="G294" s="66"/>
      <c r="H294" s="19"/>
      <c r="I294" s="26"/>
      <c r="J294" s="88"/>
      <c r="K294" s="56"/>
    </row>
    <row r="295" spans="1:11" s="3" customFormat="1" ht="16.25" hidden="1" customHeight="1" x14ac:dyDescent="0.2">
      <c r="A295" s="50" t="s">
        <v>8</v>
      </c>
      <c r="B295" s="8"/>
      <c r="C295" s="9"/>
      <c r="D295" s="39"/>
      <c r="E295" s="17"/>
      <c r="F295" s="18"/>
      <c r="G295" s="66"/>
      <c r="H295" s="19"/>
      <c r="I295" s="27"/>
      <c r="J295" s="86"/>
      <c r="K295" s="59"/>
    </row>
    <row r="296" spans="1:11" s="3" customFormat="1" ht="16.25" hidden="1" customHeight="1" x14ac:dyDescent="0.2">
      <c r="A296" s="53" t="s">
        <v>81</v>
      </c>
      <c r="B296" s="11" t="s">
        <v>80</v>
      </c>
      <c r="C296" s="6">
        <v>264.10000000000002</v>
      </c>
      <c r="D296" s="40" t="s">
        <v>116</v>
      </c>
      <c r="E296" s="16" t="s">
        <v>26</v>
      </c>
      <c r="F296" s="18"/>
      <c r="G296" s="66"/>
      <c r="H296" s="19"/>
      <c r="I296" s="26"/>
      <c r="J296" s="88"/>
      <c r="K296" s="56"/>
    </row>
    <row r="297" spans="1:11" s="3" customFormat="1" ht="16.25" hidden="1" customHeight="1" x14ac:dyDescent="0.2">
      <c r="A297" s="53" t="s">
        <v>83</v>
      </c>
      <c r="B297" s="11" t="s">
        <v>82</v>
      </c>
      <c r="C297" s="6">
        <v>364.1</v>
      </c>
      <c r="D297" s="40" t="s">
        <v>117</v>
      </c>
      <c r="E297" s="16" t="s">
        <v>27</v>
      </c>
      <c r="F297" s="18"/>
      <c r="G297" s="66"/>
      <c r="H297" s="19"/>
      <c r="I297" s="26"/>
      <c r="J297" s="88"/>
      <c r="K297" s="56"/>
    </row>
    <row r="298" spans="1:11" s="3" customFormat="1" ht="16.25" hidden="1" customHeight="1" x14ac:dyDescent="0.2">
      <c r="A298" s="54" t="s">
        <v>85</v>
      </c>
      <c r="B298" s="34" t="s">
        <v>84</v>
      </c>
      <c r="C298" s="6">
        <v>464.1</v>
      </c>
      <c r="D298" s="40" t="s">
        <v>118</v>
      </c>
      <c r="E298" s="16" t="s">
        <v>28</v>
      </c>
      <c r="F298" s="18"/>
      <c r="G298" s="66"/>
      <c r="H298" s="19"/>
      <c r="I298" s="26"/>
      <c r="J298" s="88"/>
      <c r="K298" s="56"/>
    </row>
    <row r="299" spans="1:11" s="3" customFormat="1" ht="16.25" hidden="1" customHeight="1" x14ac:dyDescent="0.2">
      <c r="A299" s="184" t="s">
        <v>87</v>
      </c>
      <c r="B299" s="186" t="s">
        <v>86</v>
      </c>
      <c r="C299" s="29"/>
      <c r="D299" s="41"/>
      <c r="E299" s="33"/>
      <c r="F299" s="162"/>
      <c r="G299" s="163"/>
      <c r="H299" s="164"/>
      <c r="I299" s="31"/>
      <c r="J299" s="89"/>
      <c r="K299" s="57"/>
    </row>
    <row r="300" spans="1:11" s="3" customFormat="1" ht="16.25" hidden="1" customHeight="1" x14ac:dyDescent="0.2">
      <c r="A300" s="185"/>
      <c r="B300" s="187"/>
      <c r="C300" s="21">
        <v>564.1</v>
      </c>
      <c r="D300" s="42" t="s">
        <v>119</v>
      </c>
      <c r="E300" s="20" t="s">
        <v>29</v>
      </c>
      <c r="F300" s="95"/>
      <c r="G300" s="96"/>
      <c r="H300" s="97"/>
      <c r="I300" s="32"/>
      <c r="J300" s="90"/>
      <c r="K300" s="58"/>
    </row>
    <row r="301" spans="1:11" s="3" customFormat="1" ht="16.25" hidden="1" customHeight="1" x14ac:dyDescent="0.2">
      <c r="A301" s="55" t="s">
        <v>3</v>
      </c>
      <c r="B301" s="35"/>
      <c r="C301" s="6"/>
      <c r="D301" s="36"/>
      <c r="E301" s="16"/>
      <c r="F301" s="18"/>
      <c r="G301" s="66"/>
      <c r="H301" s="19"/>
      <c r="I301" s="26"/>
      <c r="J301" s="88"/>
      <c r="K301" s="56"/>
    </row>
    <row r="302" spans="1:11" s="3" customFormat="1" ht="16.25" hidden="1" customHeight="1" x14ac:dyDescent="0.2">
      <c r="A302" s="47" t="s">
        <v>30</v>
      </c>
      <c r="B302" s="13"/>
      <c r="C302" s="6">
        <v>356.1</v>
      </c>
      <c r="D302" s="36" t="s">
        <v>120</v>
      </c>
      <c r="E302" s="16" t="s">
        <v>32</v>
      </c>
      <c r="F302" s="18"/>
      <c r="G302" s="66"/>
      <c r="H302" s="19"/>
      <c r="I302" s="26"/>
      <c r="J302" s="88"/>
      <c r="K302" s="56"/>
    </row>
    <row r="303" spans="1:11" s="3" customFormat="1" ht="16.25" hidden="1" customHeight="1" x14ac:dyDescent="0.2">
      <c r="A303" s="47" t="s">
        <v>4</v>
      </c>
      <c r="B303" s="13"/>
      <c r="C303" s="6">
        <v>392.1</v>
      </c>
      <c r="D303" s="38" t="s">
        <v>121</v>
      </c>
      <c r="E303" s="16" t="s">
        <v>31</v>
      </c>
      <c r="F303" s="95"/>
      <c r="G303" s="96"/>
      <c r="H303" s="97"/>
      <c r="I303" s="25"/>
      <c r="J303" s="22"/>
      <c r="K303" s="61"/>
    </row>
    <row r="304" spans="1:11" s="3" customFormat="1" ht="16.25" customHeight="1" x14ac:dyDescent="0.2">
      <c r="A304" s="183"/>
      <c r="B304" s="183"/>
      <c r="C304" s="183"/>
      <c r="D304" s="183"/>
      <c r="E304" s="183"/>
      <c r="F304" s="183"/>
      <c r="G304" s="183"/>
      <c r="H304" s="183"/>
      <c r="I304" s="14"/>
      <c r="J304" s="14"/>
      <c r="K304" s="7"/>
    </row>
  </sheetData>
  <sheetProtection algorithmName="SHA-512" hashValue="+Nh0WFuSOAeAN6MEcFiJ1kW4NHWtp+KStHppmV0+fMO9a2C88lrbSEMb/mhvx1CUqBrbJrUNOeOfYPCaxB9mSw==" saltValue="P39QjWAcWwo6ZD7utCYL/Q==" spinCount="100000" sheet="1" objects="1" scenarios="1"/>
  <mergeCells count="43">
    <mergeCell ref="B31:B58"/>
    <mergeCell ref="B59:B87"/>
    <mergeCell ref="B88:B117"/>
    <mergeCell ref="B167:B174"/>
    <mergeCell ref="A167:A174"/>
    <mergeCell ref="B271:B272"/>
    <mergeCell ref="B273:B274"/>
    <mergeCell ref="A175:A182"/>
    <mergeCell ref="B175:B182"/>
    <mergeCell ref="A216:A238"/>
    <mergeCell ref="B216:B238"/>
    <mergeCell ref="B184:B213"/>
    <mergeCell ref="A214:A215"/>
    <mergeCell ref="B214:B215"/>
    <mergeCell ref="A239:A242"/>
    <mergeCell ref="B239:B242"/>
    <mergeCell ref="K6:K7"/>
    <mergeCell ref="I6:I7"/>
    <mergeCell ref="A6:A7"/>
    <mergeCell ref="A165:A166"/>
    <mergeCell ref="B165:B166"/>
    <mergeCell ref="F6:H6"/>
    <mergeCell ref="B6:B7"/>
    <mergeCell ref="E6:E7"/>
    <mergeCell ref="A88:A117"/>
    <mergeCell ref="A141:A160"/>
    <mergeCell ref="B141:B160"/>
    <mergeCell ref="A161:A164"/>
    <mergeCell ref="B161:B164"/>
    <mergeCell ref="B8:B30"/>
    <mergeCell ref="J6:J7"/>
    <mergeCell ref="B118:B140"/>
    <mergeCell ref="A304:H304"/>
    <mergeCell ref="A299:A300"/>
    <mergeCell ref="B299:B300"/>
    <mergeCell ref="A243:A270"/>
    <mergeCell ref="B243:B270"/>
    <mergeCell ref="A288:A289"/>
    <mergeCell ref="B288:B289"/>
    <mergeCell ref="A278:A287"/>
    <mergeCell ref="B278:B287"/>
    <mergeCell ref="A276:A277"/>
    <mergeCell ref="B276:B277"/>
  </mergeCells>
  <pageMargins left="0.25" right="0.25" top="0.5" bottom="0.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3"/>
  <sheetViews>
    <sheetView zoomScale="110" zoomScaleNormal="110" workbookViewId="0">
      <selection activeCell="A23" sqref="A23"/>
    </sheetView>
  </sheetViews>
  <sheetFormatPr baseColWidth="10" defaultColWidth="8.6640625" defaultRowHeight="16" x14ac:dyDescent="0.2"/>
  <sheetData>
    <row r="1" spans="1:20" x14ac:dyDescent="0.2">
      <c r="A1" s="182" t="str">
        <f>ReadMe!B8</f>
        <v>April 2020</v>
      </c>
    </row>
    <row r="2" spans="1:20" x14ac:dyDescent="0.2">
      <c r="A2" s="15" t="s">
        <v>197</v>
      </c>
    </row>
    <row r="3" spans="1:20" x14ac:dyDescent="0.2">
      <c r="A3" s="15" t="s">
        <v>198</v>
      </c>
    </row>
    <row r="4" spans="1:20" x14ac:dyDescent="0.2">
      <c r="A4" s="15"/>
    </row>
    <row r="5" spans="1:20" x14ac:dyDescent="0.2">
      <c r="A5">
        <v>1</v>
      </c>
      <c r="B5" s="84" t="s">
        <v>136</v>
      </c>
    </row>
    <row r="6" spans="1:20" ht="33" customHeight="1" x14ac:dyDescent="0.2">
      <c r="B6" s="214" t="s">
        <v>187</v>
      </c>
      <c r="C6" s="214"/>
      <c r="D6" s="214"/>
      <c r="E6" s="214"/>
      <c r="F6" s="214"/>
      <c r="G6" s="214"/>
      <c r="H6" s="214"/>
      <c r="I6" s="214"/>
      <c r="J6" s="214"/>
      <c r="K6" s="214"/>
      <c r="L6" s="214"/>
      <c r="M6" s="214"/>
      <c r="N6" s="214"/>
      <c r="O6" s="214"/>
      <c r="P6" s="214"/>
      <c r="Q6" s="214"/>
      <c r="R6" s="214"/>
      <c r="S6" s="214"/>
      <c r="T6" s="214"/>
    </row>
    <row r="8" spans="1:20" x14ac:dyDescent="0.2">
      <c r="A8">
        <v>2</v>
      </c>
      <c r="B8" s="84" t="s">
        <v>137</v>
      </c>
    </row>
    <row r="9" spans="1:20" ht="33" customHeight="1" x14ac:dyDescent="0.2">
      <c r="B9" s="214" t="s">
        <v>188</v>
      </c>
      <c r="C9" s="214"/>
      <c r="D9" s="214"/>
      <c r="E9" s="214"/>
      <c r="F9" s="214"/>
      <c r="G9" s="214"/>
      <c r="H9" s="214"/>
      <c r="I9" s="214"/>
      <c r="J9" s="214"/>
      <c r="K9" s="214"/>
      <c r="L9" s="214"/>
      <c r="M9" s="214"/>
      <c r="N9" s="214"/>
      <c r="O9" s="214"/>
      <c r="P9" s="214"/>
      <c r="Q9" s="214"/>
      <c r="R9" s="214"/>
      <c r="S9" s="214"/>
      <c r="T9" s="214"/>
    </row>
    <row r="11" spans="1:20" ht="15.75" customHeight="1" x14ac:dyDescent="0.2">
      <c r="A11">
        <v>3</v>
      </c>
      <c r="B11" s="84" t="s">
        <v>144</v>
      </c>
    </row>
    <row r="12" spans="1:20" ht="33" customHeight="1" x14ac:dyDescent="0.2">
      <c r="B12" s="214" t="s">
        <v>189</v>
      </c>
      <c r="C12" s="214"/>
      <c r="D12" s="214"/>
      <c r="E12" s="214"/>
      <c r="F12" s="214"/>
      <c r="G12" s="214"/>
      <c r="H12" s="214"/>
      <c r="I12" s="214"/>
      <c r="J12" s="214"/>
      <c r="K12" s="214"/>
      <c r="L12" s="214"/>
      <c r="M12" s="214"/>
      <c r="N12" s="214"/>
      <c r="O12" s="214"/>
      <c r="P12" s="214"/>
      <c r="Q12" s="214"/>
      <c r="R12" s="214"/>
      <c r="S12" s="214"/>
      <c r="T12" s="214"/>
    </row>
    <row r="13" spans="1:20" ht="15.75" customHeight="1" x14ac:dyDescent="0.2"/>
    <row r="14" spans="1:20" x14ac:dyDescent="0.2">
      <c r="A14">
        <v>4</v>
      </c>
      <c r="B14" s="84" t="s">
        <v>157</v>
      </c>
    </row>
    <row r="15" spans="1:20" ht="33" customHeight="1" x14ac:dyDescent="0.2">
      <c r="B15" s="214" t="s">
        <v>190</v>
      </c>
      <c r="C15" s="214"/>
      <c r="D15" s="214"/>
      <c r="E15" s="214"/>
      <c r="F15" s="214"/>
      <c r="G15" s="214"/>
      <c r="H15" s="214"/>
      <c r="I15" s="214"/>
      <c r="J15" s="214"/>
      <c r="K15" s="214"/>
      <c r="L15" s="214"/>
      <c r="M15" s="214"/>
      <c r="N15" s="214"/>
      <c r="O15" s="214"/>
      <c r="P15" s="214"/>
      <c r="Q15" s="214"/>
      <c r="R15" s="214"/>
      <c r="S15" s="214"/>
      <c r="T15" s="214"/>
    </row>
    <row r="16" spans="1:20" ht="15.75" customHeight="1" x14ac:dyDescent="0.2">
      <c r="B16" s="92"/>
      <c r="C16" s="92"/>
      <c r="D16" s="92"/>
      <c r="E16" s="92"/>
      <c r="F16" s="92"/>
      <c r="G16" s="92"/>
      <c r="H16" s="92"/>
      <c r="I16" s="92"/>
      <c r="J16" s="92"/>
      <c r="K16" s="92"/>
      <c r="L16" s="92"/>
      <c r="M16" s="92"/>
      <c r="N16" s="92"/>
      <c r="O16" s="92"/>
      <c r="P16" s="92"/>
      <c r="Q16" s="92"/>
      <c r="R16" s="92"/>
      <c r="S16" s="92"/>
      <c r="T16" s="92"/>
    </row>
    <row r="17" spans="1:20" ht="15" customHeight="1" x14ac:dyDescent="0.2">
      <c r="A17">
        <v>5</v>
      </c>
      <c r="B17" s="84" t="s">
        <v>168</v>
      </c>
      <c r="T17" s="92"/>
    </row>
    <row r="18" spans="1:20" ht="15.75" customHeight="1" x14ac:dyDescent="0.2">
      <c r="B18" s="84"/>
      <c r="T18" s="92"/>
    </row>
    <row r="19" spans="1:20" x14ac:dyDescent="0.2">
      <c r="A19">
        <v>6</v>
      </c>
      <c r="B19" s="84" t="s">
        <v>158</v>
      </c>
    </row>
    <row r="20" spans="1:20" ht="33" customHeight="1" x14ac:dyDescent="0.2">
      <c r="B20" s="214" t="s">
        <v>191</v>
      </c>
      <c r="C20" s="214"/>
      <c r="D20" s="214"/>
      <c r="E20" s="214"/>
      <c r="F20" s="214"/>
      <c r="G20" s="214"/>
      <c r="H20" s="214"/>
      <c r="I20" s="214"/>
      <c r="J20" s="214"/>
      <c r="K20" s="214"/>
      <c r="L20" s="214"/>
      <c r="M20" s="214"/>
      <c r="N20" s="214"/>
      <c r="O20" s="214"/>
      <c r="P20" s="214"/>
      <c r="Q20" s="214"/>
      <c r="R20" s="214"/>
      <c r="S20" s="214"/>
      <c r="T20" s="214"/>
    </row>
    <row r="23" spans="1:20" ht="33" customHeight="1" x14ac:dyDescent="0.2"/>
  </sheetData>
  <sheetProtection algorithmName="SHA-512" hashValue="Eo1P9evojRUsDwUkAEDbkdAhVN/3Efq24CgIhK3kCt9f61NJ4HPhIreoWRzs3q7L1ovVjCOk9aw2H/DuQw762w==" saltValue="pVSG2oUiDrgteNiuSyf5vg==" spinCount="100000" sheet="1" objects="1" scenarios="1"/>
  <mergeCells count="5">
    <mergeCell ref="B9:T9"/>
    <mergeCell ref="B6:T6"/>
    <mergeCell ref="B12:T12"/>
    <mergeCell ref="B15:T15"/>
    <mergeCell ref="B20:T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ReadMe</vt:lpstr>
      <vt:lpstr>BCF, BAF, BMF</vt:lpstr>
      <vt:lpstr>References</vt:lpstr>
      <vt:lpstr>'BCF, BAF, BMF'!OLE_LINK387</vt:lpstr>
      <vt:lpstr>'BCF, BAF, BMF'!OLE_LINK482</vt:lpstr>
      <vt:lpstr>'BCF, BAF, BMF'!OLE_LINK79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ITRC PFAS Team</dc:creator>
  <cp:keywords/>
  <dc:description/>
  <cp:lastModifiedBy>Microsoft Office User</cp:lastModifiedBy>
  <cp:lastPrinted>2018-02-27T19:59:52Z</cp:lastPrinted>
  <dcterms:created xsi:type="dcterms:W3CDTF">2017-04-26T21:25:55Z</dcterms:created>
  <dcterms:modified xsi:type="dcterms:W3CDTF">2022-01-07T21:45:05Z</dcterms:modified>
  <cp:category/>
</cp:coreProperties>
</file>